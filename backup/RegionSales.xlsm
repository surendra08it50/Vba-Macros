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showPivotChartFilter="1" defaultThemeVersion="124226"/>
  <bookViews>
    <workbookView xWindow="0" yWindow="0" windowWidth="13320" windowHeight="8340"/>
  </bookViews>
  <sheets>
    <sheet name="Sheet17" sheetId="33" r:id="rId1"/>
    <sheet name="Sheet16" sheetId="32" r:id="rId2"/>
    <sheet name="Sheet15" sheetId="31" r:id="rId3"/>
    <sheet name="Sheet14" sheetId="30" r:id="rId4"/>
    <sheet name="Sheet13" sheetId="29" r:id="rId5"/>
    <sheet name="Sales Data" sheetId="16" r:id="rId6"/>
  </sheets>
  <calcPr calcId="144525"/>
  <pivotCaches>
    <pivotCache cacheId="53" r:id="rId7"/>
    <pivotCache cacheId="58" r:id="rId8"/>
    <pivotCache cacheId="63" r:id="rId9"/>
    <pivotCache cacheId="68" r:id="rId10"/>
    <pivotCache cacheId="73" r:id="rId11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45" i="16" l="1"/>
  <c r="H244" i="16"/>
  <c r="H243" i="16"/>
  <c r="H242" i="16"/>
  <c r="H241" i="16"/>
  <c r="H240" i="16"/>
  <c r="H239" i="16"/>
  <c r="H238" i="16"/>
  <c r="H237" i="16"/>
  <c r="H236" i="16"/>
  <c r="H235" i="16"/>
  <c r="H234" i="16"/>
  <c r="H233" i="16"/>
  <c r="H232" i="16"/>
  <c r="H231" i="16"/>
  <c r="H230" i="16"/>
  <c r="H229" i="16"/>
  <c r="H228" i="16"/>
  <c r="H227" i="16"/>
  <c r="H226" i="16"/>
  <c r="H225" i="16"/>
  <c r="H224" i="16"/>
  <c r="H223" i="16"/>
  <c r="H222" i="16"/>
  <c r="H221" i="16"/>
  <c r="H220" i="16"/>
  <c r="H219" i="16"/>
  <c r="H218" i="16"/>
  <c r="H217" i="16"/>
  <c r="H216" i="16"/>
  <c r="H215" i="16"/>
  <c r="H214" i="16"/>
  <c r="H213" i="16"/>
  <c r="H212" i="16"/>
  <c r="H211" i="16"/>
  <c r="H210" i="16"/>
  <c r="H209" i="16"/>
  <c r="H208" i="16"/>
  <c r="H207" i="16"/>
  <c r="H206" i="16"/>
  <c r="H205" i="16"/>
  <c r="H204" i="16"/>
  <c r="H203" i="16"/>
  <c r="H202" i="16"/>
  <c r="H201" i="16"/>
  <c r="H200" i="16"/>
  <c r="H199" i="16"/>
  <c r="H198" i="16"/>
  <c r="H197" i="16"/>
  <c r="H196" i="16"/>
  <c r="H195" i="16"/>
  <c r="H194" i="16"/>
  <c r="H193" i="16"/>
  <c r="H192" i="16"/>
  <c r="H191" i="16"/>
  <c r="H190" i="16"/>
  <c r="H189" i="16"/>
  <c r="H188" i="16"/>
  <c r="H187" i="16"/>
  <c r="H186" i="16"/>
  <c r="H185" i="16"/>
  <c r="H184" i="16"/>
  <c r="H183" i="16"/>
  <c r="H182" i="16"/>
  <c r="H181" i="16"/>
  <c r="H180" i="16"/>
  <c r="H179" i="16"/>
  <c r="H178" i="16"/>
  <c r="H177" i="16"/>
  <c r="H176" i="16"/>
  <c r="H175" i="16"/>
  <c r="H174" i="16"/>
  <c r="H173" i="16"/>
  <c r="H172" i="16"/>
  <c r="H171" i="16"/>
  <c r="H170" i="16"/>
  <c r="H169" i="16"/>
  <c r="H168" i="16"/>
  <c r="H167" i="16"/>
  <c r="H166" i="16"/>
  <c r="H165" i="16"/>
  <c r="H164" i="16"/>
  <c r="H163" i="16"/>
  <c r="H162" i="16"/>
  <c r="H161" i="16"/>
  <c r="H160" i="16"/>
  <c r="H159" i="16"/>
  <c r="H158" i="16"/>
  <c r="H157" i="16"/>
  <c r="H156" i="16"/>
  <c r="H155" i="16"/>
  <c r="H154" i="16"/>
  <c r="H153" i="16"/>
  <c r="H152" i="16"/>
  <c r="H151" i="16"/>
  <c r="H150" i="16"/>
  <c r="H149" i="16"/>
  <c r="H148" i="16"/>
  <c r="H147" i="16"/>
  <c r="H146" i="16"/>
  <c r="H145" i="16"/>
  <c r="H144" i="16"/>
  <c r="H143" i="16"/>
  <c r="H142" i="16"/>
  <c r="H141" i="16"/>
  <c r="H140" i="16"/>
  <c r="H139" i="16"/>
  <c r="H138" i="16"/>
  <c r="H137" i="16"/>
  <c r="H136" i="16"/>
  <c r="H135" i="16"/>
  <c r="H134" i="16"/>
  <c r="H133" i="16"/>
  <c r="H132" i="16"/>
  <c r="H131" i="16"/>
  <c r="H130" i="16"/>
  <c r="H129" i="16"/>
  <c r="H128" i="16"/>
  <c r="H127" i="16"/>
  <c r="H126" i="16"/>
  <c r="H125" i="16"/>
  <c r="H124" i="16"/>
  <c r="H123" i="16"/>
  <c r="H122" i="16"/>
  <c r="H121" i="16"/>
  <c r="H120" i="16"/>
  <c r="H119" i="16"/>
  <c r="H118" i="16"/>
  <c r="H117" i="16"/>
  <c r="H116" i="16"/>
  <c r="H115" i="16"/>
  <c r="H114" i="16"/>
  <c r="H113" i="16"/>
  <c r="H112" i="16"/>
  <c r="H111" i="16"/>
  <c r="H110" i="16"/>
  <c r="H109" i="16"/>
  <c r="H108" i="16"/>
  <c r="H107" i="16"/>
  <c r="H106" i="16"/>
  <c r="H105" i="16"/>
  <c r="H104" i="16"/>
  <c r="H103" i="16"/>
  <c r="H102" i="16"/>
  <c r="H101" i="16"/>
  <c r="H100" i="16"/>
  <c r="H99" i="16"/>
  <c r="H98" i="16"/>
  <c r="H97" i="16"/>
  <c r="H96" i="16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5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4" i="16"/>
  <c r="H23" i="16"/>
  <c r="H22" i="16"/>
  <c r="H21" i="16"/>
  <c r="H20" i="16"/>
  <c r="H19" i="16"/>
  <c r="H18" i="16"/>
  <c r="H17" i="16"/>
  <c r="H16" i="16"/>
  <c r="H15" i="16"/>
  <c r="H14" i="16"/>
  <c r="H13" i="16"/>
  <c r="H12" i="16"/>
  <c r="H11" i="16"/>
  <c r="H10" i="16"/>
  <c r="H9" i="16"/>
  <c r="H8" i="16"/>
  <c r="H7" i="16"/>
  <c r="H6" i="16"/>
  <c r="H5" i="16"/>
  <c r="H4" i="16"/>
  <c r="H3" i="16"/>
  <c r="H2" i="16"/>
</calcChain>
</file>

<file path=xl/sharedStrings.xml><?xml version="1.0" encoding="utf-8"?>
<sst xmlns="http://schemas.openxmlformats.org/spreadsheetml/2006/main" count="1016" uniqueCount="32">
  <si>
    <t>OrderDate</t>
  </si>
  <si>
    <t>Region</t>
  </si>
  <si>
    <t>City</t>
  </si>
  <si>
    <t>Category</t>
  </si>
  <si>
    <t>Product</t>
  </si>
  <si>
    <t>TotalPrice</t>
  </si>
  <si>
    <t>East</t>
  </si>
  <si>
    <t>Boston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</si>
  <si>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</si>
  <si>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</si>
  <si>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</si>
  <si>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</si>
  <si>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</si>
  <si>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</si>
  <si>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</si>
  <si>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</si>
  <si>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</si>
  <si>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</si>
  <si>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</si>
  <si>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West</t>
  </si>
  <si>
    <t>Los Angeles</t>
  </si>
  <si>
    <t>San Diego</t>
  </si>
  <si>
    <t>Crackers</t>
  </si>
  <si>
    <t>Whole Wheat</t>
  </si>
  <si>
    <t>Pretzels</t>
  </si>
  <si>
    <t>Quantity</t>
  </si>
  <si>
    <t>UnitPrice</t>
  </si>
  <si>
    <t>Row Labels</t>
  </si>
  <si>
    <t>Grand Total</t>
  </si>
  <si>
    <t>(All)</t>
  </si>
  <si>
    <t>Sum of Quantity2</t>
  </si>
  <si>
    <t>Count of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</si>
</sst>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1"/>
      <color theme="10"/>
      <name val="Arial Narrow"/>
      <family val="2"/>
    </font>
    <font>
      <sz val="10"/>
      <name val="Arial"/>
      <family val="2"/>
    </font>
    <font>
      <u/>
      <sz val="11"/>
      <color indexed="12"/>
      <name val="Arial Narrow"/>
      <family val="2"/>
    </font>
    <font>
      <u/>
      <sz val="11"/>
      <color indexed="12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>
      <alignment horizontal="left" indent="1"/>
    </xf>
    <xf numFmtId="0" fontId="6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9">
    <cellStyle name="Ctx_Hyperlink" xfId="6"/>
    <cellStyle name="Hyperlink 2" xfId="2"/>
    <cellStyle name="Hyperlink 2 2" xfId="5"/>
    <cellStyle name="Hyperlink 3" xfId="8"/>
    <cellStyle name="Normal" xfId="0" builtinId="0"/>
    <cellStyle name="Normal 2" xfId="4"/>
    <cellStyle name="Normal 2 2" xfId="3"/>
    <cellStyle name="Normal 2 3 2" xfId="1"/>
    <cellStyle name="Normal 4" xfId="7"/>
  </cellStyles>
  <dxfs count="3">
    <dxf>
      <numFmt numFmtId="0" formatCode="General"/>
    </dxf>
    <dxf>
      <numFmt numFmtId="0" formatCode="General"/>
    </dxf>
    <dxf>
      <numFmt numFmtId="164" formatCode="mm/dd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rendra" refreshedDate="43953.537123495371" createdVersion="3" refreshedVersion="4" minRefreshableVersion="3" recordCount="244">
  <cacheSource type="worksheet">
    <worksheetSource ref="A1:H245" sheet="Sales Data"/>
  </cacheSource>
  <cacheFields count="8">
    <cacheField name="OrderDate" numFmtId="14">
      <sharedItems containsSemiMixedTypes="0" containsNonDate="0" containsDate="1" containsString="0" minDate="2019-01-01T00:00:00" maxDate="2020-12-31T00:00:00"/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Category" numFmtId="0">
      <sharedItems/>
    </cacheField>
    <cacheField name="Product" numFmtId="0">
      <sharedItems count="9">
        <s v="Carrot"/>
        <s v="Whole Wheat"/>
        <s v="Chocolate Chip"/>
        <s v="Arrowroot"/>
        <s v="Potato Chips"/>
        <s v="Oatmeal Raisin"/>
        <s v="Bran"/>
        <s v="Pretzels"/>
        <s v="Banana"/>
      </sharedItems>
    </cacheField>
    <cacheField name="Quantity" numFmtId="0">
      <sharedItems containsSemiMixedTypes="0" containsString="0" containsNumber="1" containsInteger="1" minValue="20" maxValue="306" count="103">
        <n v="33"/>
        <n v="87"/>
        <n v="58"/>
        <n v="82"/>
        <n v="38"/>
        <n v="54"/>
        <n v="149"/>
        <n v="51"/>
        <n v="100"/>
        <n v="28"/>
        <n v="36"/>
        <n v="31"/>
        <n v="44"/>
        <n v="23"/>
        <n v="27"/>
        <n v="43"/>
        <n v="123"/>
        <n v="42"/>
        <n v="85"/>
        <n v="30"/>
        <n v="61"/>
        <n v="40"/>
        <n v="86"/>
        <n v="68"/>
        <n v="39"/>
        <n v="103"/>
        <n v="193"/>
        <n v="91"/>
        <n v="48"/>
        <n v="134"/>
        <n v="20"/>
        <n v="53"/>
        <n v="64"/>
        <n v="63"/>
        <n v="105"/>
        <n v="138"/>
        <n v="25"/>
        <n v="21"/>
        <n v="49"/>
        <n v="55"/>
        <n v="288"/>
        <n v="76"/>
        <n v="75"/>
        <n v="306"/>
        <n v="110"/>
        <n v="52"/>
        <n v="136"/>
        <n v="72"/>
        <n v="56"/>
        <n v="137"/>
        <n v="107"/>
        <n v="24"/>
        <n v="70"/>
        <n v="109"/>
        <n v="80"/>
        <n v="74"/>
        <n v="45"/>
        <n v="143"/>
        <n v="133"/>
        <n v="65"/>
        <n v="81"/>
        <n v="77"/>
        <n v="114"/>
        <n v="224"/>
        <n v="141"/>
        <n v="32"/>
        <n v="46"/>
        <n v="62"/>
        <n v="90"/>
        <n v="66"/>
        <n v="97"/>
        <n v="29"/>
        <n v="92"/>
        <n v="139"/>
        <n v="41"/>
        <n v="237"/>
        <n v="83"/>
        <n v="102"/>
        <n v="34"/>
        <n v="232"/>
        <n v="93"/>
        <n v="47"/>
        <n v="57"/>
        <n v="118"/>
        <n v="67"/>
        <n v="129"/>
        <n v="84"/>
        <n v="120"/>
        <n v="26"/>
        <n v="73"/>
        <n v="60"/>
        <n v="37"/>
        <n v="22"/>
        <n v="71"/>
        <n v="50"/>
        <n v="79"/>
        <n v="175"/>
        <n v="35"/>
        <n v="124"/>
        <n v="146"/>
        <n v="211"/>
        <n v="96"/>
        <n v="245"/>
      </sharedItems>
    </cacheField>
    <cacheField name="UnitPrice" numFmtId="0">
      <sharedItems containsSemiMixedTypes="0" containsString="0" containsNumber="1" minValue="1.35" maxValue="3.49"/>
    </cacheField>
    <cacheField name="TotalPrice" numFmtId="0">
      <sharedItems containsSemiMixedTypes="0" containsString="0" containsNumber="1" minValue="33.6" maxValue="817.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urendra" refreshedDate="43953.537971990743" createdVersion="3" refreshedVersion="4" minRefreshableVersion="3" recordCount="244">
  <cacheSource type="worksheet">
    <worksheetSource ref="A1:H245" sheet="Sales Data"/>
  </cacheSource>
  <cacheFields count="8">
    <cacheField name="OrderDate" numFmtId="14">
      <sharedItems containsSemiMixedTypes="0" containsNonDate="0" containsDate="1" containsString="0" minDate="2019-01-01T00:00:00" maxDate="2020-12-31T00:00:00"/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Category" numFmtId="0">
      <sharedItems/>
    </cacheField>
    <cacheField name="Product" numFmtId="0">
      <sharedItems count="9">
        <s v="Carrot"/>
        <s v="Whole Wheat"/>
        <s v="Chocolate Chip"/>
        <s v="Arrowroot"/>
        <s v="Potato Chips"/>
        <s v="Oatmeal Raisin"/>
        <s v="Bran"/>
        <s v="Pretzels"/>
        <s v="Banana"/>
      </sharedItems>
    </cacheField>
    <cacheField name="Quantity" numFmtId="0">
      <sharedItems containsSemiMixedTypes="0" containsString="0" containsNumber="1" containsInteger="1" minValue="20" maxValue="306" count="103">
        <n v="33"/>
        <n v="87"/>
        <n v="58"/>
        <n v="82"/>
        <n v="38"/>
        <n v="54"/>
        <n v="149"/>
        <n v="51"/>
        <n v="100"/>
        <n v="28"/>
        <n v="36"/>
        <n v="31"/>
        <n v="44"/>
        <n v="23"/>
        <n v="27"/>
        <n v="43"/>
        <n v="123"/>
        <n v="42"/>
        <n v="85"/>
        <n v="30"/>
        <n v="61"/>
        <n v="40"/>
        <n v="86"/>
        <n v="68"/>
        <n v="39"/>
        <n v="103"/>
        <n v="193"/>
        <n v="91"/>
        <n v="48"/>
        <n v="134"/>
        <n v="20"/>
        <n v="53"/>
        <n v="64"/>
        <n v="63"/>
        <n v="105"/>
        <n v="138"/>
        <n v="25"/>
        <n v="21"/>
        <n v="49"/>
        <n v="55"/>
        <n v="288"/>
        <n v="76"/>
        <n v="75"/>
        <n v="306"/>
        <n v="110"/>
        <n v="52"/>
        <n v="136"/>
        <n v="72"/>
        <n v="56"/>
        <n v="137"/>
        <n v="107"/>
        <n v="24"/>
        <n v="70"/>
        <n v="109"/>
        <n v="80"/>
        <n v="74"/>
        <n v="45"/>
        <n v="143"/>
        <n v="133"/>
        <n v="65"/>
        <n v="81"/>
        <n v="77"/>
        <n v="114"/>
        <n v="224"/>
        <n v="141"/>
        <n v="32"/>
        <n v="46"/>
        <n v="62"/>
        <n v="90"/>
        <n v="66"/>
        <n v="97"/>
        <n v="29"/>
        <n v="92"/>
        <n v="139"/>
        <n v="41"/>
        <n v="237"/>
        <n v="83"/>
        <n v="102"/>
        <n v="34"/>
        <n v="232"/>
        <n v="93"/>
        <n v="47"/>
        <n v="57"/>
        <n v="118"/>
        <n v="67"/>
        <n v="129"/>
        <n v="84"/>
        <n v="120"/>
        <n v="26"/>
        <n v="73"/>
        <n v="60"/>
        <n v="37"/>
        <n v="22"/>
        <n v="71"/>
        <n v="50"/>
        <n v="79"/>
        <n v="175"/>
        <n v="35"/>
        <n v="124"/>
        <n v="146"/>
        <n v="211"/>
        <n v="96"/>
        <n v="245"/>
      </sharedItems>
    </cacheField>
    <cacheField name="UnitPrice" numFmtId="0">
      <sharedItems containsSemiMixedTypes="0" containsString="0" containsNumber="1" minValue="1.35" maxValue="3.49"/>
    </cacheField>
    <cacheField name="TotalPrice" numFmtId="0">
      <sharedItems containsSemiMixedTypes="0" containsString="0" containsNumber="1" minValue="33.6" maxValue="817.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urendra" refreshedDate="43953.539214004632" createdVersion="3" refreshedVersion="4" minRefreshableVersion="3" recordCount="244">
  <cacheSource type="worksheet">
    <worksheetSource ref="A1:H245" sheet="Sales Data"/>
  </cacheSource>
  <cacheFields count="8">
    <cacheField name="OrderDate" numFmtId="14">
      <sharedItems containsSemiMixedTypes="0" containsNonDate="0" containsDate="1" containsString="0" minDate="2019-01-01T00:00:00" maxDate="2020-12-31T00:00:00"/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Category" numFmtId="0">
      <sharedItems/>
    </cacheField>
    <cacheField name="Product" numFmtId="0">
      <sharedItems count="9">
        <s v="Carrot"/>
        <s v="Whole Wheat"/>
        <s v="Chocolate Chip"/>
        <s v="Arrowroot"/>
        <s v="Potato Chips"/>
        <s v="Oatmeal Raisin"/>
        <s v="Bran"/>
        <s v="Pretzels"/>
        <s v="Banana"/>
      </sharedItems>
    </cacheField>
    <cacheField name="Quantity" numFmtId="0">
      <sharedItems containsSemiMixedTypes="0" containsString="0" containsNumber="1" containsInteger="1" minValue="20" maxValue="306" count="103">
        <n v="33"/>
        <n v="87"/>
        <n v="58"/>
        <n v="82"/>
        <n v="38"/>
        <n v="54"/>
        <n v="149"/>
        <n v="51"/>
        <n v="100"/>
        <n v="28"/>
        <n v="36"/>
        <n v="31"/>
        <n v="44"/>
        <n v="23"/>
        <n v="27"/>
        <n v="43"/>
        <n v="123"/>
        <n v="42"/>
        <n v="85"/>
        <n v="30"/>
        <n v="61"/>
        <n v="40"/>
        <n v="86"/>
        <n v="68"/>
        <n v="39"/>
        <n v="103"/>
        <n v="193"/>
        <n v="91"/>
        <n v="48"/>
        <n v="134"/>
        <n v="20"/>
        <n v="53"/>
        <n v="64"/>
        <n v="63"/>
        <n v="105"/>
        <n v="138"/>
        <n v="25"/>
        <n v="21"/>
        <n v="49"/>
        <n v="55"/>
        <n v="288"/>
        <n v="76"/>
        <n v="75"/>
        <n v="306"/>
        <n v="110"/>
        <n v="52"/>
        <n v="136"/>
        <n v="72"/>
        <n v="56"/>
        <n v="137"/>
        <n v="107"/>
        <n v="24"/>
        <n v="70"/>
        <n v="109"/>
        <n v="80"/>
        <n v="74"/>
        <n v="45"/>
        <n v="143"/>
        <n v="133"/>
        <n v="65"/>
        <n v="81"/>
        <n v="77"/>
        <n v="114"/>
        <n v="224"/>
        <n v="141"/>
        <n v="32"/>
        <n v="46"/>
        <n v="62"/>
        <n v="90"/>
        <n v="66"/>
        <n v="97"/>
        <n v="29"/>
        <n v="92"/>
        <n v="139"/>
        <n v="41"/>
        <n v="237"/>
        <n v="83"/>
        <n v="102"/>
        <n v="34"/>
        <n v="232"/>
        <n v="93"/>
        <n v="47"/>
        <n v="57"/>
        <n v="118"/>
        <n v="67"/>
        <n v="129"/>
        <n v="84"/>
        <n v="120"/>
        <n v="26"/>
        <n v="73"/>
        <n v="60"/>
        <n v="37"/>
        <n v="22"/>
        <n v="71"/>
        <n v="50"/>
        <n v="79"/>
        <n v="175"/>
        <n v="35"/>
        <n v="124"/>
        <n v="146"/>
        <n v="211"/>
        <n v="96"/>
        <n v="245"/>
      </sharedItems>
    </cacheField>
    <cacheField name="UnitPrice" numFmtId="0">
      <sharedItems containsSemiMixedTypes="0" containsString="0" containsNumber="1" minValue="1.35" maxValue="3.49"/>
    </cacheField>
    <cacheField name="TotalPrice" numFmtId="0">
      <sharedItems containsSemiMixedTypes="0" containsString="0" containsNumber="1" minValue="33.6" maxValue="817.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Surendra" refreshedDate="43953.540000347224" createdVersion="3" refreshedVersion="4" minRefreshableVersion="3" recordCount="244">
  <cacheSource type="worksheet">
    <worksheetSource ref="A1:H245" sheet="Sales Data"/>
  </cacheSource>
  <cacheFields count="8">
    <cacheField name="OrderDate" numFmtId="14">
      <sharedItems containsSemiMixedTypes="0" containsNonDate="0" containsDate="1" containsString="0" minDate="2019-01-01T00:00:00" maxDate="2020-12-31T00:00:00"/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Category" numFmtId="0">
      <sharedItems/>
    </cacheField>
    <cacheField name="Product" numFmtId="0">
      <sharedItems count="9">
        <s v="Carrot"/>
        <s v="Whole Wheat"/>
        <s v="Chocolate Chip"/>
        <s v="Arrowroot"/>
        <s v="Potato Chips"/>
        <s v="Oatmeal Raisin"/>
        <s v="Bran"/>
        <s v="Pretzels"/>
        <s v="Banana"/>
      </sharedItems>
    </cacheField>
    <cacheField name="Quantity" numFmtId="0">
      <sharedItems containsSemiMixedTypes="0" containsString="0" containsNumber="1" containsInteger="1" minValue="20" maxValue="306" count="103">
        <n v="33"/>
        <n v="87"/>
        <n v="58"/>
        <n v="82"/>
        <n v="38"/>
        <n v="54"/>
        <n v="149"/>
        <n v="51"/>
        <n v="100"/>
        <n v="28"/>
        <n v="36"/>
        <n v="31"/>
        <n v="44"/>
        <n v="23"/>
        <n v="27"/>
        <n v="43"/>
        <n v="123"/>
        <n v="42"/>
        <n v="85"/>
        <n v="30"/>
        <n v="61"/>
        <n v="40"/>
        <n v="86"/>
        <n v="68"/>
        <n v="39"/>
        <n v="103"/>
        <n v="193"/>
        <n v="91"/>
        <n v="48"/>
        <n v="134"/>
        <n v="20"/>
        <n v="53"/>
        <n v="64"/>
        <n v="63"/>
        <n v="105"/>
        <n v="138"/>
        <n v="25"/>
        <n v="21"/>
        <n v="49"/>
        <n v="55"/>
        <n v="288"/>
        <n v="76"/>
        <n v="75"/>
        <n v="306"/>
        <n v="110"/>
        <n v="52"/>
        <n v="136"/>
        <n v="72"/>
        <n v="56"/>
        <n v="137"/>
        <n v="107"/>
        <n v="24"/>
        <n v="70"/>
        <n v="109"/>
        <n v="80"/>
        <n v="74"/>
        <n v="45"/>
        <n v="143"/>
        <n v="133"/>
        <n v="65"/>
        <n v="81"/>
        <n v="77"/>
        <n v="114"/>
        <n v="224"/>
        <n v="141"/>
        <n v="32"/>
        <n v="46"/>
        <n v="62"/>
        <n v="90"/>
        <n v="66"/>
        <n v="97"/>
        <n v="29"/>
        <n v="92"/>
        <n v="139"/>
        <n v="41"/>
        <n v="237"/>
        <n v="83"/>
        <n v="102"/>
        <n v="34"/>
        <n v="232"/>
        <n v="93"/>
        <n v="47"/>
        <n v="57"/>
        <n v="118"/>
        <n v="67"/>
        <n v="129"/>
        <n v="84"/>
        <n v="120"/>
        <n v="26"/>
        <n v="73"/>
        <n v="60"/>
        <n v="37"/>
        <n v="22"/>
        <n v="71"/>
        <n v="50"/>
        <n v="79"/>
        <n v="175"/>
        <n v="35"/>
        <n v="124"/>
        <n v="146"/>
        <n v="211"/>
        <n v="96"/>
        <n v="245"/>
      </sharedItems>
    </cacheField>
    <cacheField name="UnitPrice" numFmtId="0">
      <sharedItems containsSemiMixedTypes="0" containsString="0" containsNumber="1" minValue="1.35" maxValue="3.49"/>
    </cacheField>
    <cacheField name="TotalPrice" numFmtId="0">
      <sharedItems containsSemiMixedTypes="0" containsString="0" containsNumber="1" minValue="33.6" maxValue="817.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Surendra" refreshedDate="43953.540375578705" createdVersion="3" refreshedVersion="4" minRefreshableVersion="3" recordCount="244">
  <cacheSource type="worksheet">
    <worksheetSource ref="A1:H245" sheet="Sales Data"/>
  </cacheSource>
  <cacheFields count="8">
    <cacheField name="OrderDate" numFmtId="14">
      <sharedItems containsSemiMixedTypes="0" containsNonDate="0" containsDate="1" containsString="0" minDate="2019-01-01T00:00:00" maxDate="2020-12-31T00:00:00"/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Category" numFmtId="0">
      <sharedItems/>
    </cacheField>
    <cacheField name="Product" numFmtId="0">
      <sharedItems count="9">
        <s v="Carrot"/>
        <s v="Whole Wheat"/>
        <s v="Chocolate Chip"/>
        <s v="Arrowroot"/>
        <s v="Potato Chips"/>
        <s v="Oatmeal Raisin"/>
        <s v="Bran"/>
        <s v="Pretzels"/>
        <s v="Banana"/>
      </sharedItems>
    </cacheField>
    <cacheField name="Quantity" numFmtId="0">
      <sharedItems containsSemiMixedTypes="0" containsString="0" containsNumber="1" containsInteger="1" minValue="20" maxValue="306" count="103">
        <n v="33"/>
        <n v="87"/>
        <n v="58"/>
        <n v="82"/>
        <n v="38"/>
        <n v="54"/>
        <n v="149"/>
        <n v="51"/>
        <n v="100"/>
        <n v="28"/>
        <n v="36"/>
        <n v="31"/>
        <n v="44"/>
        <n v="23"/>
        <n v="27"/>
        <n v="43"/>
        <n v="123"/>
        <n v="42"/>
        <n v="85"/>
        <n v="30"/>
        <n v="61"/>
        <n v="40"/>
        <n v="86"/>
        <n v="68"/>
        <n v="39"/>
        <n v="103"/>
        <n v="193"/>
        <n v="91"/>
        <n v="48"/>
        <n v="134"/>
        <n v="20"/>
        <n v="53"/>
        <n v="64"/>
        <n v="63"/>
        <n v="105"/>
        <n v="138"/>
        <n v="25"/>
        <n v="21"/>
        <n v="49"/>
        <n v="55"/>
        <n v="288"/>
        <n v="76"/>
        <n v="75"/>
        <n v="306"/>
        <n v="110"/>
        <n v="52"/>
        <n v="136"/>
        <n v="72"/>
        <n v="56"/>
        <n v="137"/>
        <n v="107"/>
        <n v="24"/>
        <n v="70"/>
        <n v="109"/>
        <n v="80"/>
        <n v="74"/>
        <n v="45"/>
        <n v="143"/>
        <n v="133"/>
        <n v="65"/>
        <n v="81"/>
        <n v="77"/>
        <n v="114"/>
        <n v="224"/>
        <n v="141"/>
        <n v="32"/>
        <n v="46"/>
        <n v="62"/>
        <n v="90"/>
        <n v="66"/>
        <n v="97"/>
        <n v="29"/>
        <n v="92"/>
        <n v="139"/>
        <n v="41"/>
        <n v="237"/>
        <n v="83"/>
        <n v="102"/>
        <n v="34"/>
        <n v="232"/>
        <n v="93"/>
        <n v="47"/>
        <n v="57"/>
        <n v="118"/>
        <n v="67"/>
        <n v="129"/>
        <n v="84"/>
        <n v="120"/>
        <n v="26"/>
        <n v="73"/>
        <n v="60"/>
        <n v="37"/>
        <n v="22"/>
        <n v="71"/>
        <n v="50"/>
        <n v="79"/>
        <n v="175"/>
        <n v="35"/>
        <n v="124"/>
        <n v="146"/>
        <n v="211"/>
        <n v="96"/>
        <n v="245"/>
      </sharedItems>
    </cacheField>
    <cacheField name="UnitPrice" numFmtId="0">
      <sharedItems containsSemiMixedTypes="0" containsString="0" containsNumber="1" minValue="1.35" maxValue="3.49"/>
    </cacheField>
    <cacheField name="TotalPrice" numFmtId="0">
      <sharedItems containsSemiMixedTypes="0" containsString="0" containsNumber="1" minValue="33.6" maxValue="817.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4">
  <r>
    <d v="2019-01-01T00:00:00"/>
    <x v="0"/>
    <s v="Boston"/>
    <s v="Bars"/>
    <x v="0"/>
    <x v="0"/>
    <n v="1.7699999999999998"/>
    <n v="58.41"/>
  </r>
  <r>
    <d v="2019-01-04T00:00:00"/>
    <x v="0"/>
    <s v="Boston"/>
    <s v="Crackers"/>
    <x v="1"/>
    <x v="1"/>
    <n v="3.4899999999999998"/>
    <n v="303.63"/>
  </r>
  <r>
    <d v="2019-01-07T00:00:00"/>
    <x v="1"/>
    <s v="Los Angeles"/>
    <s v="Cookies"/>
    <x v="2"/>
    <x v="2"/>
    <n v="1.8699999999999999"/>
    <n v="108.46"/>
  </r>
  <r>
    <d v="2019-01-10T00:00:00"/>
    <x v="0"/>
    <s v="New York"/>
    <s v="Cookies"/>
    <x v="2"/>
    <x v="3"/>
    <n v="1.87"/>
    <n v="153.34"/>
  </r>
  <r>
    <d v="2019-01-13T00:00:00"/>
    <x v="0"/>
    <s v="Boston"/>
    <s v="Cookies"/>
    <x v="3"/>
    <x v="4"/>
    <n v="2.1800000000000002"/>
    <n v="82.84"/>
  </r>
  <r>
    <d v="2019-01-16T00:00:00"/>
    <x v="0"/>
    <s v="Boston"/>
    <s v="Bars"/>
    <x v="0"/>
    <x v="5"/>
    <n v="1.77"/>
    <n v="95.58"/>
  </r>
  <r>
    <d v="2019-01-19T00:00:00"/>
    <x v="0"/>
    <s v="Boston"/>
    <s v="Crackers"/>
    <x v="1"/>
    <x v="6"/>
    <n v="3.4899999999999998"/>
    <n v="520.01"/>
  </r>
  <r>
    <d v="2019-01-22T00:00:00"/>
    <x v="1"/>
    <s v="Los Angeles"/>
    <s v="Bars"/>
    <x v="0"/>
    <x v="7"/>
    <n v="1.77"/>
    <n v="90.27"/>
  </r>
  <r>
    <d v="2019-01-25T00:00:00"/>
    <x v="0"/>
    <s v="New York"/>
    <s v="Bars"/>
    <x v="0"/>
    <x v="8"/>
    <n v="1.77"/>
    <n v="177"/>
  </r>
  <r>
    <d v="2019-01-28T00:00:00"/>
    <x v="0"/>
    <s v="New York"/>
    <s v="Snacks"/>
    <x v="4"/>
    <x v="9"/>
    <n v="1.35"/>
    <n v="37.800000000000004"/>
  </r>
  <r>
    <d v="2019-01-31T00:00:00"/>
    <x v="0"/>
    <s v="Boston"/>
    <s v="Cookies"/>
    <x v="3"/>
    <x v="10"/>
    <n v="2.1800000000000002"/>
    <n v="78.48"/>
  </r>
  <r>
    <d v="2019-02-03T00:00:00"/>
    <x v="0"/>
    <s v="Boston"/>
    <s v="Cookies"/>
    <x v="2"/>
    <x v="11"/>
    <n v="1.8699999999999999"/>
    <n v="57.97"/>
  </r>
  <r>
    <d v="2019-02-06T00:00:00"/>
    <x v="0"/>
    <s v="Boston"/>
    <s v="Crackers"/>
    <x v="1"/>
    <x v="9"/>
    <n v="3.4899999999999998"/>
    <n v="97.72"/>
  </r>
  <r>
    <d v="2019-02-09T00:00:00"/>
    <x v="1"/>
    <s v="Los Angeles"/>
    <s v="Bars"/>
    <x v="0"/>
    <x v="12"/>
    <n v="1.7699999999999998"/>
    <n v="77.88"/>
  </r>
  <r>
    <d v="2019-02-12T00:00:00"/>
    <x v="0"/>
    <s v="New York"/>
    <s v="Bars"/>
    <x v="0"/>
    <x v="13"/>
    <n v="1.77"/>
    <n v="40.71"/>
  </r>
  <r>
    <d v="2019-02-15T00:00:00"/>
    <x v="0"/>
    <s v="New York"/>
    <s v="Snacks"/>
    <x v="4"/>
    <x v="14"/>
    <n v="1.35"/>
    <n v="36.450000000000003"/>
  </r>
  <r>
    <d v="2019-02-18T00:00:00"/>
    <x v="0"/>
    <s v="Boston"/>
    <s v="Cookies"/>
    <x v="3"/>
    <x v="15"/>
    <n v="2.1799999999999997"/>
    <n v="93.739999999999981"/>
  </r>
  <r>
    <d v="2019-02-21T00:00:00"/>
    <x v="0"/>
    <s v="Boston"/>
    <s v="Cookies"/>
    <x v="5"/>
    <x v="16"/>
    <n v="2.84"/>
    <n v="349.32"/>
  </r>
  <r>
    <d v="2019-02-24T00:00:00"/>
    <x v="1"/>
    <s v="Los Angeles"/>
    <s v="Bars"/>
    <x v="6"/>
    <x v="17"/>
    <n v="1.87"/>
    <n v="78.540000000000006"/>
  </r>
  <r>
    <d v="2019-02-27T00:00:00"/>
    <x v="1"/>
    <s v="Los Angeles"/>
    <s v="Cookies"/>
    <x v="5"/>
    <x v="0"/>
    <n v="2.84"/>
    <n v="93.72"/>
  </r>
  <r>
    <d v="2019-03-02T00:00:00"/>
    <x v="0"/>
    <s v="New York"/>
    <s v="Cookies"/>
    <x v="2"/>
    <x v="18"/>
    <n v="1.8699999999999999"/>
    <n v="158.94999999999999"/>
  </r>
  <r>
    <d v="2019-03-05T00:00:00"/>
    <x v="1"/>
    <s v="San Diego"/>
    <s v="Cookies"/>
    <x v="5"/>
    <x v="19"/>
    <n v="2.8400000000000003"/>
    <n v="85.2"/>
  </r>
  <r>
    <d v="2019-03-08T00:00:00"/>
    <x v="0"/>
    <s v="Boston"/>
    <s v="Bars"/>
    <x v="0"/>
    <x v="20"/>
    <n v="1.77"/>
    <n v="107.97"/>
  </r>
  <r>
    <d v="2019-03-11T00:00:00"/>
    <x v="0"/>
    <s v="Boston"/>
    <s v="Crackers"/>
    <x v="1"/>
    <x v="21"/>
    <n v="3.4899999999999998"/>
    <n v="139.6"/>
  </r>
  <r>
    <d v="2019-03-14T00:00:00"/>
    <x v="1"/>
    <s v="Los Angeles"/>
    <s v="Cookies"/>
    <x v="2"/>
    <x v="22"/>
    <n v="1.8699999999999999"/>
    <n v="160.82"/>
  </r>
  <r>
    <d v="2019-03-17T00:00:00"/>
    <x v="0"/>
    <s v="New York"/>
    <s v="Bars"/>
    <x v="0"/>
    <x v="4"/>
    <n v="1.7700000000000002"/>
    <n v="67.260000000000005"/>
  </r>
  <r>
    <d v="2019-03-20T00:00:00"/>
    <x v="0"/>
    <s v="New York"/>
    <s v="Snacks"/>
    <x v="4"/>
    <x v="23"/>
    <n v="1.68"/>
    <n v="114.24"/>
  </r>
  <r>
    <d v="2019-03-23T00:00:00"/>
    <x v="1"/>
    <s v="San Diego"/>
    <s v="Cookies"/>
    <x v="2"/>
    <x v="24"/>
    <n v="1.87"/>
    <n v="72.930000000000007"/>
  </r>
  <r>
    <d v="2019-03-26T00:00:00"/>
    <x v="0"/>
    <s v="Boston"/>
    <s v="Bars"/>
    <x v="6"/>
    <x v="25"/>
    <n v="1.87"/>
    <n v="192.61"/>
  </r>
  <r>
    <d v="2019-03-29T00:00:00"/>
    <x v="0"/>
    <s v="Boston"/>
    <s v="Cookies"/>
    <x v="5"/>
    <x v="26"/>
    <n v="2.84"/>
    <n v="548.12"/>
  </r>
  <r>
    <d v="2019-04-01T00:00:00"/>
    <x v="1"/>
    <s v="Los Angeles"/>
    <s v="Bars"/>
    <x v="0"/>
    <x v="2"/>
    <n v="1.77"/>
    <n v="102.66"/>
  </r>
  <r>
    <d v="2019-04-04T00:00:00"/>
    <x v="1"/>
    <s v="Los Angeles"/>
    <s v="Snacks"/>
    <x v="4"/>
    <x v="23"/>
    <n v="1.68"/>
    <n v="114.24"/>
  </r>
  <r>
    <d v="2019-04-07T00:00:00"/>
    <x v="0"/>
    <s v="New York"/>
    <s v="Bars"/>
    <x v="0"/>
    <x v="27"/>
    <n v="1.77"/>
    <n v="161.07"/>
  </r>
  <r>
    <d v="2019-04-10T00:00:00"/>
    <x v="0"/>
    <s v="New York"/>
    <s v="Crackers"/>
    <x v="1"/>
    <x v="13"/>
    <n v="3.4899999999999998"/>
    <n v="80.27"/>
  </r>
  <r>
    <d v="2019-04-13T00:00:00"/>
    <x v="1"/>
    <s v="San Diego"/>
    <s v="Snacks"/>
    <x v="4"/>
    <x v="9"/>
    <n v="1.68"/>
    <n v="47.04"/>
  </r>
  <r>
    <d v="2019-04-16T00:00:00"/>
    <x v="0"/>
    <s v="Boston"/>
    <s v="Bars"/>
    <x v="0"/>
    <x v="28"/>
    <n v="1.7699999999999998"/>
    <n v="84.96"/>
  </r>
  <r>
    <d v="2019-04-19T00:00:00"/>
    <x v="0"/>
    <s v="Boston"/>
    <s v="Snacks"/>
    <x v="4"/>
    <x v="29"/>
    <n v="1.68"/>
    <n v="225.12"/>
  </r>
  <r>
    <d v="2019-04-22T00:00:00"/>
    <x v="1"/>
    <s v="Los Angeles"/>
    <s v="Bars"/>
    <x v="0"/>
    <x v="30"/>
    <n v="1.77"/>
    <n v="35.4"/>
  </r>
  <r>
    <d v="2019-04-25T00:00:00"/>
    <x v="0"/>
    <s v="New York"/>
    <s v="Bars"/>
    <x v="0"/>
    <x v="31"/>
    <n v="1.77"/>
    <n v="93.81"/>
  </r>
  <r>
    <d v="2019-04-28T00:00:00"/>
    <x v="0"/>
    <s v="New York"/>
    <s v="Snacks"/>
    <x v="4"/>
    <x v="32"/>
    <n v="1.68"/>
    <n v="107.52"/>
  </r>
  <r>
    <d v="2019-05-01T00:00:00"/>
    <x v="1"/>
    <s v="San Diego"/>
    <s v="Cookies"/>
    <x v="2"/>
    <x v="33"/>
    <n v="1.87"/>
    <n v="117.81"/>
  </r>
  <r>
    <d v="2019-05-04T00:00:00"/>
    <x v="0"/>
    <s v="Boston"/>
    <s v="Bars"/>
    <x v="6"/>
    <x v="34"/>
    <n v="1.8699999999999999"/>
    <n v="196.35"/>
  </r>
  <r>
    <d v="2019-05-07T00:00:00"/>
    <x v="0"/>
    <s v="Boston"/>
    <s v="Cookies"/>
    <x v="5"/>
    <x v="35"/>
    <n v="2.8400000000000003"/>
    <n v="391.92"/>
  </r>
  <r>
    <d v="2019-05-10T00:00:00"/>
    <x v="1"/>
    <s v="Los Angeles"/>
    <s v="Bars"/>
    <x v="0"/>
    <x v="36"/>
    <n v="1.77"/>
    <n v="44.25"/>
  </r>
  <r>
    <d v="2019-05-13T00:00:00"/>
    <x v="1"/>
    <s v="Los Angeles"/>
    <s v="Crackers"/>
    <x v="1"/>
    <x v="37"/>
    <n v="3.49"/>
    <n v="73.290000000000006"/>
  </r>
  <r>
    <d v="2019-05-16T00:00:00"/>
    <x v="0"/>
    <s v="New York"/>
    <s v="Bars"/>
    <x v="0"/>
    <x v="20"/>
    <n v="1.77"/>
    <n v="107.97"/>
  </r>
  <r>
    <d v="2019-05-19T00:00:00"/>
    <x v="0"/>
    <s v="New York"/>
    <s v="Snacks"/>
    <x v="4"/>
    <x v="38"/>
    <n v="1.68"/>
    <n v="82.32"/>
  </r>
  <r>
    <d v="2019-05-22T00:00:00"/>
    <x v="1"/>
    <s v="San Diego"/>
    <s v="Cookies"/>
    <x v="2"/>
    <x v="39"/>
    <n v="1.8699999999999999"/>
    <n v="102.85"/>
  </r>
  <r>
    <d v="2019-05-25T00:00:00"/>
    <x v="0"/>
    <s v="Boston"/>
    <s v="Cookies"/>
    <x v="3"/>
    <x v="14"/>
    <n v="2.1800000000000002"/>
    <n v="58.860000000000007"/>
  </r>
  <r>
    <d v="2019-05-28T00:00:00"/>
    <x v="0"/>
    <s v="Boston"/>
    <s v="Bars"/>
    <x v="0"/>
    <x v="2"/>
    <n v="1.77"/>
    <n v="102.66"/>
  </r>
  <r>
    <d v="2019-05-31T00:00:00"/>
    <x v="0"/>
    <s v="Boston"/>
    <s v="Crackers"/>
    <x v="1"/>
    <x v="0"/>
    <n v="3.49"/>
    <n v="115.17"/>
  </r>
  <r>
    <d v="2019-06-03T00:00:00"/>
    <x v="1"/>
    <s v="Los Angeles"/>
    <s v="Cookies"/>
    <x v="5"/>
    <x v="40"/>
    <n v="2.84"/>
    <n v="817.92"/>
  </r>
  <r>
    <d v="2019-06-06T00:00:00"/>
    <x v="0"/>
    <s v="New York"/>
    <s v="Cookies"/>
    <x v="2"/>
    <x v="41"/>
    <n v="1.87"/>
    <n v="142.12"/>
  </r>
  <r>
    <d v="2019-06-09T00:00:00"/>
    <x v="1"/>
    <s v="San Diego"/>
    <s v="Bars"/>
    <x v="0"/>
    <x v="17"/>
    <n v="1.77"/>
    <n v="74.34"/>
  </r>
  <r>
    <d v="2019-06-12T00:00:00"/>
    <x v="1"/>
    <s v="San Diego"/>
    <s v="Crackers"/>
    <x v="1"/>
    <x v="30"/>
    <n v="3.4899999999999998"/>
    <n v="69.8"/>
  </r>
  <r>
    <d v="2019-06-15T00:00:00"/>
    <x v="0"/>
    <s v="Boston"/>
    <s v="Bars"/>
    <x v="0"/>
    <x v="42"/>
    <n v="1.77"/>
    <n v="132.75"/>
  </r>
  <r>
    <d v="2019-06-18T00:00:00"/>
    <x v="0"/>
    <s v="Boston"/>
    <s v="Crackers"/>
    <x v="1"/>
    <x v="4"/>
    <n v="3.49"/>
    <n v="132.62"/>
  </r>
  <r>
    <d v="2019-06-21T00:00:00"/>
    <x v="1"/>
    <s v="Los Angeles"/>
    <s v="Bars"/>
    <x v="0"/>
    <x v="43"/>
    <n v="1.77"/>
    <n v="541.62"/>
  </r>
  <r>
    <d v="2019-06-24T00:00:00"/>
    <x v="1"/>
    <s v="Los Angeles"/>
    <s v="Snacks"/>
    <x v="4"/>
    <x v="9"/>
    <n v="1.68"/>
    <n v="47.04"/>
  </r>
  <r>
    <d v="2019-06-27T00:00:00"/>
    <x v="0"/>
    <s v="New York"/>
    <s v="Bars"/>
    <x v="6"/>
    <x v="44"/>
    <n v="1.8699999999999999"/>
    <n v="205.7"/>
  </r>
  <r>
    <d v="2019-06-30T00:00:00"/>
    <x v="0"/>
    <s v="New York"/>
    <s v="Cookies"/>
    <x v="5"/>
    <x v="7"/>
    <n v="2.84"/>
    <n v="144.84"/>
  </r>
  <r>
    <d v="2019-07-03T00:00:00"/>
    <x v="1"/>
    <s v="San Diego"/>
    <s v="Bars"/>
    <x v="0"/>
    <x v="45"/>
    <n v="1.77"/>
    <n v="92.04"/>
  </r>
  <r>
    <d v="2019-07-06T00:00:00"/>
    <x v="1"/>
    <s v="San Diego"/>
    <s v="Crackers"/>
    <x v="1"/>
    <x v="9"/>
    <n v="3.4899999999999998"/>
    <n v="97.72"/>
  </r>
  <r>
    <d v="2019-07-09T00:00:00"/>
    <x v="0"/>
    <s v="Boston"/>
    <s v="Bars"/>
    <x v="0"/>
    <x v="46"/>
    <n v="1.77"/>
    <n v="240.72"/>
  </r>
  <r>
    <d v="2019-07-12T00:00:00"/>
    <x v="0"/>
    <s v="Boston"/>
    <s v="Crackers"/>
    <x v="1"/>
    <x v="17"/>
    <n v="3.49"/>
    <n v="146.58000000000001"/>
  </r>
  <r>
    <d v="2019-07-15T00:00:00"/>
    <x v="1"/>
    <s v="Los Angeles"/>
    <s v="Cookies"/>
    <x v="2"/>
    <x v="42"/>
    <n v="1.87"/>
    <n v="140.25"/>
  </r>
  <r>
    <d v="2019-07-18T00:00:00"/>
    <x v="0"/>
    <s v="New York"/>
    <s v="Bars"/>
    <x v="6"/>
    <x v="47"/>
    <n v="1.8699999999999999"/>
    <n v="134.63999999999999"/>
  </r>
  <r>
    <d v="2019-07-21T00:00:00"/>
    <x v="0"/>
    <s v="New York"/>
    <s v="Cookies"/>
    <x v="5"/>
    <x v="48"/>
    <n v="2.84"/>
    <n v="159.04"/>
  </r>
  <r>
    <d v="2019-07-24T00:00:00"/>
    <x v="1"/>
    <s v="San Diego"/>
    <s v="Bars"/>
    <x v="6"/>
    <x v="7"/>
    <n v="1.87"/>
    <n v="95.37"/>
  </r>
  <r>
    <d v="2019-07-27T00:00:00"/>
    <x v="1"/>
    <s v="San Diego"/>
    <s v="Snacks"/>
    <x v="4"/>
    <x v="11"/>
    <n v="1.68"/>
    <n v="52.08"/>
  </r>
  <r>
    <d v="2019-07-30T00:00:00"/>
    <x v="0"/>
    <s v="Boston"/>
    <s v="Bars"/>
    <x v="6"/>
    <x v="48"/>
    <n v="1.8699999999999999"/>
    <n v="104.72"/>
  </r>
  <r>
    <d v="2019-08-02T00:00:00"/>
    <x v="0"/>
    <s v="Boston"/>
    <s v="Cookies"/>
    <x v="5"/>
    <x v="49"/>
    <n v="2.84"/>
    <n v="389.08"/>
  </r>
  <r>
    <d v="2019-08-05T00:00:00"/>
    <x v="1"/>
    <s v="Los Angeles"/>
    <s v="Cookies"/>
    <x v="2"/>
    <x v="50"/>
    <n v="1.87"/>
    <n v="200.09"/>
  </r>
  <r>
    <d v="2019-08-08T00:00:00"/>
    <x v="0"/>
    <s v="New York"/>
    <s v="Bars"/>
    <x v="0"/>
    <x v="51"/>
    <n v="1.7699999999999998"/>
    <n v="42.48"/>
  </r>
  <r>
    <d v="2019-08-11T00:00:00"/>
    <x v="0"/>
    <s v="New York"/>
    <s v="Crackers"/>
    <x v="1"/>
    <x v="19"/>
    <n v="3.49"/>
    <n v="104.7"/>
  </r>
  <r>
    <d v="2019-08-14T00:00:00"/>
    <x v="1"/>
    <s v="San Diego"/>
    <s v="Cookies"/>
    <x v="2"/>
    <x v="52"/>
    <n v="1.87"/>
    <n v="130.9"/>
  </r>
  <r>
    <d v="2019-08-17T00:00:00"/>
    <x v="0"/>
    <s v="Boston"/>
    <s v="Cookies"/>
    <x v="3"/>
    <x v="11"/>
    <n v="2.1800000000000002"/>
    <n v="67.58"/>
  </r>
  <r>
    <d v="2019-08-20T00:00:00"/>
    <x v="0"/>
    <s v="Boston"/>
    <s v="Bars"/>
    <x v="0"/>
    <x v="53"/>
    <n v="1.77"/>
    <n v="192.93"/>
  </r>
  <r>
    <d v="2019-08-23T00:00:00"/>
    <x v="0"/>
    <s v="Boston"/>
    <s v="Crackers"/>
    <x v="1"/>
    <x v="37"/>
    <n v="3.49"/>
    <n v="73.290000000000006"/>
  </r>
  <r>
    <d v="2019-08-26T00:00:00"/>
    <x v="1"/>
    <s v="Los Angeles"/>
    <s v="Cookies"/>
    <x v="2"/>
    <x v="54"/>
    <n v="1.8699999999999999"/>
    <n v="149.6"/>
  </r>
  <r>
    <d v="2019-08-29T00:00:00"/>
    <x v="0"/>
    <s v="New York"/>
    <s v="Bars"/>
    <x v="6"/>
    <x v="42"/>
    <n v="1.87"/>
    <n v="140.25"/>
  </r>
  <r>
    <d v="2019-09-01T00:00:00"/>
    <x v="0"/>
    <s v="New York"/>
    <s v="Cookies"/>
    <x v="5"/>
    <x v="55"/>
    <n v="2.84"/>
    <n v="210.16"/>
  </r>
  <r>
    <d v="2019-09-04T00:00:00"/>
    <x v="1"/>
    <s v="San Diego"/>
    <s v="Bars"/>
    <x v="0"/>
    <x v="56"/>
    <n v="1.77"/>
    <n v="79.650000000000006"/>
  </r>
  <r>
    <d v="2019-09-07T00:00:00"/>
    <x v="0"/>
    <s v="Boston"/>
    <s v="Cookies"/>
    <x v="3"/>
    <x v="9"/>
    <n v="2.1800000000000002"/>
    <n v="61.040000000000006"/>
  </r>
  <r>
    <d v="2019-09-10T00:00:00"/>
    <x v="0"/>
    <s v="Boston"/>
    <s v="Bars"/>
    <x v="0"/>
    <x v="57"/>
    <n v="1.77"/>
    <n v="253.11"/>
  </r>
  <r>
    <d v="2019-09-13T00:00:00"/>
    <x v="0"/>
    <s v="Boston"/>
    <s v="Snacks"/>
    <x v="7"/>
    <x v="14"/>
    <n v="3.15"/>
    <n v="85.05"/>
  </r>
  <r>
    <d v="2019-09-16T00:00:00"/>
    <x v="1"/>
    <s v="Los Angeles"/>
    <s v="Bars"/>
    <x v="0"/>
    <x v="58"/>
    <n v="1.77"/>
    <n v="235.41"/>
  </r>
  <r>
    <d v="2019-09-19T00:00:00"/>
    <x v="0"/>
    <s v="New York"/>
    <s v="Cookies"/>
    <x v="3"/>
    <x v="44"/>
    <n v="2.1800000000000002"/>
    <n v="239.8"/>
  </r>
  <r>
    <d v="2019-09-22T00:00:00"/>
    <x v="0"/>
    <s v="New York"/>
    <s v="Cookies"/>
    <x v="2"/>
    <x v="59"/>
    <n v="1.8699999999999999"/>
    <n v="121.55"/>
  </r>
  <r>
    <d v="2019-09-25T00:00:00"/>
    <x v="1"/>
    <s v="San Diego"/>
    <s v="Bars"/>
    <x v="6"/>
    <x v="0"/>
    <n v="1.87"/>
    <n v="61.71"/>
  </r>
  <r>
    <d v="2019-09-28T00:00:00"/>
    <x v="0"/>
    <s v="Boston"/>
    <s v="Cookies"/>
    <x v="3"/>
    <x v="60"/>
    <n v="2.1800000000000002"/>
    <n v="176.58"/>
  </r>
  <r>
    <d v="2019-10-01T00:00:00"/>
    <x v="0"/>
    <s v="Boston"/>
    <s v="Bars"/>
    <x v="0"/>
    <x v="61"/>
    <n v="1.7699999999999998"/>
    <n v="136.29"/>
  </r>
  <r>
    <d v="2019-10-04T00:00:00"/>
    <x v="0"/>
    <s v="Boston"/>
    <s v="Crackers"/>
    <x v="1"/>
    <x v="4"/>
    <n v="3.49"/>
    <n v="132.62"/>
  </r>
  <r>
    <d v="2019-10-07T00:00:00"/>
    <x v="1"/>
    <s v="Los Angeles"/>
    <s v="Bars"/>
    <x v="0"/>
    <x v="21"/>
    <n v="1.77"/>
    <n v="70.8"/>
  </r>
  <r>
    <d v="2019-10-10T00:00:00"/>
    <x v="1"/>
    <s v="Los Angeles"/>
    <s v="Snacks"/>
    <x v="4"/>
    <x v="62"/>
    <n v="1.6800000000000002"/>
    <n v="191.52"/>
  </r>
  <r>
    <d v="2019-10-13T00:00:00"/>
    <x v="0"/>
    <s v="New York"/>
    <s v="Cookies"/>
    <x v="3"/>
    <x v="63"/>
    <n v="2.1800000000000002"/>
    <n v="488.32000000000005"/>
  </r>
  <r>
    <d v="2019-10-16T00:00:00"/>
    <x v="0"/>
    <s v="New York"/>
    <s v="Bars"/>
    <x v="0"/>
    <x v="64"/>
    <n v="1.77"/>
    <n v="249.57"/>
  </r>
  <r>
    <d v="2019-10-19T00:00:00"/>
    <x v="0"/>
    <s v="New York"/>
    <s v="Crackers"/>
    <x v="1"/>
    <x v="65"/>
    <n v="3.49"/>
    <n v="111.68"/>
  </r>
  <r>
    <d v="2019-10-22T00:00:00"/>
    <x v="1"/>
    <s v="San Diego"/>
    <s v="Bars"/>
    <x v="0"/>
    <x v="30"/>
    <n v="1.77"/>
    <n v="35.4"/>
  </r>
  <r>
    <d v="2019-10-25T00:00:00"/>
    <x v="0"/>
    <s v="Boston"/>
    <s v="Cookies"/>
    <x v="3"/>
    <x v="21"/>
    <n v="2.1800000000000002"/>
    <n v="87.2"/>
  </r>
  <r>
    <d v="2019-10-28T00:00:00"/>
    <x v="0"/>
    <s v="Boston"/>
    <s v="Cookies"/>
    <x v="2"/>
    <x v="38"/>
    <n v="1.8699999999999999"/>
    <n v="91.63"/>
  </r>
  <r>
    <d v="2019-10-31T00:00:00"/>
    <x v="0"/>
    <s v="Boston"/>
    <s v="Crackers"/>
    <x v="1"/>
    <x v="66"/>
    <n v="3.4899999999999998"/>
    <n v="160.54"/>
  </r>
  <r>
    <d v="2019-11-03T00:00:00"/>
    <x v="1"/>
    <s v="Los Angeles"/>
    <s v="Bars"/>
    <x v="0"/>
    <x v="24"/>
    <n v="1.77"/>
    <n v="69.03"/>
  </r>
  <r>
    <d v="2019-11-06T00:00:00"/>
    <x v="1"/>
    <s v="Los Angeles"/>
    <s v="Snacks"/>
    <x v="4"/>
    <x v="67"/>
    <n v="1.68"/>
    <n v="104.16"/>
  </r>
  <r>
    <d v="2019-11-09T00:00:00"/>
    <x v="0"/>
    <s v="New York"/>
    <s v="Bars"/>
    <x v="0"/>
    <x v="68"/>
    <n v="1.77"/>
    <n v="159.30000000000001"/>
  </r>
  <r>
    <d v="2019-11-12T00:00:00"/>
    <x v="1"/>
    <s v="San Diego"/>
    <s v="Cookies"/>
    <x v="3"/>
    <x v="25"/>
    <n v="2.1799999999999997"/>
    <n v="224.53999999999996"/>
  </r>
  <r>
    <d v="2019-11-15T00:00:00"/>
    <x v="1"/>
    <s v="San Diego"/>
    <s v="Cookies"/>
    <x v="5"/>
    <x v="65"/>
    <n v="2.84"/>
    <n v="90.88"/>
  </r>
  <r>
    <d v="2019-11-18T00:00:00"/>
    <x v="0"/>
    <s v="Boston"/>
    <s v="Bars"/>
    <x v="6"/>
    <x v="69"/>
    <n v="1.87"/>
    <n v="123.42"/>
  </r>
  <r>
    <d v="2019-11-21T00:00:00"/>
    <x v="0"/>
    <s v="Boston"/>
    <s v="Cookies"/>
    <x v="5"/>
    <x v="70"/>
    <n v="2.8400000000000003"/>
    <n v="275.48"/>
  </r>
  <r>
    <d v="2019-11-24T00:00:00"/>
    <x v="1"/>
    <s v="Los Angeles"/>
    <s v="Bars"/>
    <x v="0"/>
    <x v="19"/>
    <n v="1.77"/>
    <n v="53.1"/>
  </r>
  <r>
    <d v="2019-11-27T00:00:00"/>
    <x v="1"/>
    <s v="Los Angeles"/>
    <s v="Snacks"/>
    <x v="4"/>
    <x v="71"/>
    <n v="1.68"/>
    <n v="48.72"/>
  </r>
  <r>
    <d v="2019-11-30T00:00:00"/>
    <x v="0"/>
    <s v="New York"/>
    <s v="Bars"/>
    <x v="0"/>
    <x v="72"/>
    <n v="1.77"/>
    <n v="162.84"/>
  </r>
  <r>
    <d v="2019-12-03T00:00:00"/>
    <x v="1"/>
    <s v="San Diego"/>
    <s v="Cookies"/>
    <x v="3"/>
    <x v="73"/>
    <n v="2.1799999999999997"/>
    <n v="303.02"/>
  </r>
  <r>
    <d v="2019-12-06T00:00:00"/>
    <x v="1"/>
    <s v="San Diego"/>
    <s v="Cookies"/>
    <x v="5"/>
    <x v="71"/>
    <n v="2.84"/>
    <n v="82.36"/>
  </r>
  <r>
    <d v="2019-12-09T00:00:00"/>
    <x v="0"/>
    <s v="Boston"/>
    <s v="Bars"/>
    <x v="8"/>
    <x v="19"/>
    <n v="2.27"/>
    <n v="68.099999999999994"/>
  </r>
  <r>
    <d v="2019-12-12T00:00:00"/>
    <x v="0"/>
    <s v="Boston"/>
    <s v="Cookies"/>
    <x v="2"/>
    <x v="10"/>
    <n v="1.8699999999999999"/>
    <n v="67.319999999999993"/>
  </r>
  <r>
    <d v="2019-12-15T00:00:00"/>
    <x v="0"/>
    <s v="Boston"/>
    <s v="Crackers"/>
    <x v="1"/>
    <x v="74"/>
    <n v="3.49"/>
    <n v="143.09"/>
  </r>
  <r>
    <d v="2019-12-18T00:00:00"/>
    <x v="1"/>
    <s v="Los Angeles"/>
    <s v="Bars"/>
    <x v="0"/>
    <x v="12"/>
    <n v="1.7699999999999998"/>
    <n v="77.88"/>
  </r>
  <r>
    <d v="2019-12-21T00:00:00"/>
    <x v="1"/>
    <s v="Los Angeles"/>
    <s v="Snacks"/>
    <x v="4"/>
    <x v="71"/>
    <n v="1.68"/>
    <n v="48.72"/>
  </r>
  <r>
    <d v="2019-12-24T00:00:00"/>
    <x v="0"/>
    <s v="New York"/>
    <s v="Cookies"/>
    <x v="3"/>
    <x v="75"/>
    <n v="2.1799999999999997"/>
    <n v="516.66"/>
  </r>
  <r>
    <d v="2019-12-27T00:00:00"/>
    <x v="0"/>
    <s v="New York"/>
    <s v="Cookies"/>
    <x v="2"/>
    <x v="59"/>
    <n v="1.8699999999999999"/>
    <n v="121.55"/>
  </r>
  <r>
    <d v="2019-12-30T00:00:00"/>
    <x v="1"/>
    <s v="San Diego"/>
    <s v="Cookies"/>
    <x v="3"/>
    <x v="76"/>
    <n v="2.1800000000000002"/>
    <n v="180.94000000000003"/>
  </r>
  <r>
    <d v="2020-01-02T00:00:00"/>
    <x v="0"/>
    <s v="Boston"/>
    <s v="Cookies"/>
    <x v="3"/>
    <x v="65"/>
    <n v="2.1800000000000002"/>
    <n v="69.760000000000005"/>
  </r>
  <r>
    <d v="2020-01-05T00:00:00"/>
    <x v="0"/>
    <s v="Boston"/>
    <s v="Bars"/>
    <x v="0"/>
    <x v="33"/>
    <n v="1.77"/>
    <n v="111.51"/>
  </r>
  <r>
    <d v="2020-01-08T00:00:00"/>
    <x v="0"/>
    <s v="Boston"/>
    <s v="Snacks"/>
    <x v="7"/>
    <x v="71"/>
    <n v="3.15"/>
    <n v="91.35"/>
  </r>
  <r>
    <d v="2020-01-11T00:00:00"/>
    <x v="1"/>
    <s v="Los Angeles"/>
    <s v="Bars"/>
    <x v="6"/>
    <x v="61"/>
    <n v="1.87"/>
    <n v="143.99"/>
  </r>
  <r>
    <d v="2020-01-14T00:00:00"/>
    <x v="1"/>
    <s v="Los Angeles"/>
    <s v="Cookies"/>
    <x v="5"/>
    <x v="54"/>
    <n v="2.84"/>
    <n v="227.2"/>
  </r>
  <r>
    <d v="2020-01-17T00:00:00"/>
    <x v="0"/>
    <s v="New York"/>
    <s v="Bars"/>
    <x v="0"/>
    <x v="77"/>
    <n v="1.77"/>
    <n v="180.54"/>
  </r>
  <r>
    <d v="2020-01-20T00:00:00"/>
    <x v="0"/>
    <s v="New York"/>
    <s v="Crackers"/>
    <x v="1"/>
    <x v="11"/>
    <n v="3.4899999999999998"/>
    <n v="108.19"/>
  </r>
  <r>
    <d v="2020-01-23T00:00:00"/>
    <x v="1"/>
    <s v="San Diego"/>
    <s v="Bars"/>
    <x v="0"/>
    <x v="48"/>
    <n v="1.77"/>
    <n v="99.12"/>
  </r>
  <r>
    <d v="2020-01-26T00:00:00"/>
    <x v="0"/>
    <s v="Boston"/>
    <s v="Cookies"/>
    <x v="3"/>
    <x v="45"/>
    <n v="2.1800000000000002"/>
    <n v="113.36000000000001"/>
  </r>
  <r>
    <d v="2020-01-29T00:00:00"/>
    <x v="0"/>
    <s v="Boston"/>
    <s v="Bars"/>
    <x v="0"/>
    <x v="7"/>
    <n v="1.77"/>
    <n v="90.27"/>
  </r>
  <r>
    <d v="2020-02-01T00:00:00"/>
    <x v="0"/>
    <s v="Boston"/>
    <s v="Snacks"/>
    <x v="4"/>
    <x v="51"/>
    <n v="1.68"/>
    <n v="40.32"/>
  </r>
  <r>
    <d v="2020-02-04T00:00:00"/>
    <x v="1"/>
    <s v="Los Angeles"/>
    <s v="Cookies"/>
    <x v="3"/>
    <x v="2"/>
    <n v="2.1800000000000002"/>
    <n v="126.44000000000001"/>
  </r>
  <r>
    <d v="2020-02-07T00:00:00"/>
    <x v="1"/>
    <s v="Los Angeles"/>
    <s v="Cookies"/>
    <x v="2"/>
    <x v="78"/>
    <n v="1.8699999999999999"/>
    <n v="63.58"/>
  </r>
  <r>
    <d v="2020-02-10T00:00:00"/>
    <x v="0"/>
    <s v="New York"/>
    <s v="Bars"/>
    <x v="0"/>
    <x v="78"/>
    <n v="1.77"/>
    <n v="60.18"/>
  </r>
  <r>
    <d v="2020-02-13T00:00:00"/>
    <x v="0"/>
    <s v="New York"/>
    <s v="Snacks"/>
    <x v="4"/>
    <x v="37"/>
    <n v="1.6800000000000002"/>
    <n v="35.28"/>
  </r>
  <r>
    <d v="2020-02-16T00:00:00"/>
    <x v="1"/>
    <s v="San Diego"/>
    <s v="Cookies"/>
    <x v="5"/>
    <x v="71"/>
    <n v="2.84"/>
    <n v="82.36"/>
  </r>
  <r>
    <d v="2020-02-19T00:00:00"/>
    <x v="0"/>
    <s v="Boston"/>
    <s v="Bars"/>
    <x v="0"/>
    <x v="23"/>
    <n v="1.77"/>
    <n v="120.36"/>
  </r>
  <r>
    <d v="2020-02-22T00:00:00"/>
    <x v="0"/>
    <s v="Boston"/>
    <s v="Snacks"/>
    <x v="7"/>
    <x v="11"/>
    <n v="3.1500000000000004"/>
    <n v="97.65"/>
  </r>
  <r>
    <d v="2020-02-25T00:00:00"/>
    <x v="1"/>
    <s v="Los Angeles"/>
    <s v="Cookies"/>
    <x v="3"/>
    <x v="19"/>
    <n v="2.1800000000000002"/>
    <n v="65.400000000000006"/>
  </r>
  <r>
    <d v="2020-02-28T00:00:00"/>
    <x v="1"/>
    <s v="Los Angeles"/>
    <s v="Cookies"/>
    <x v="2"/>
    <x v="79"/>
    <n v="1.8699999999999999"/>
    <n v="433.84"/>
  </r>
  <r>
    <d v="2020-03-02T00:00:00"/>
    <x v="0"/>
    <s v="New York"/>
    <s v="Bars"/>
    <x v="6"/>
    <x v="23"/>
    <n v="1.8699999999999999"/>
    <n v="127.16"/>
  </r>
  <r>
    <d v="2020-03-05T00:00:00"/>
    <x v="0"/>
    <s v="New York"/>
    <s v="Cookies"/>
    <x v="5"/>
    <x v="70"/>
    <n v="2.8400000000000003"/>
    <n v="275.48"/>
  </r>
  <r>
    <d v="2020-03-08T00:00:00"/>
    <x v="1"/>
    <s v="San Diego"/>
    <s v="Bars"/>
    <x v="6"/>
    <x v="22"/>
    <n v="1.8699999999999999"/>
    <n v="160.82"/>
  </r>
  <r>
    <d v="2020-03-11T00:00:00"/>
    <x v="1"/>
    <s v="San Diego"/>
    <s v="Snacks"/>
    <x v="4"/>
    <x v="74"/>
    <n v="1.68"/>
    <n v="68.88"/>
  </r>
  <r>
    <d v="2020-03-14T00:00:00"/>
    <x v="0"/>
    <s v="Boston"/>
    <s v="Bars"/>
    <x v="0"/>
    <x v="80"/>
    <n v="1.7700000000000002"/>
    <n v="164.61"/>
  </r>
  <r>
    <d v="2020-03-17T00:00:00"/>
    <x v="0"/>
    <s v="Boston"/>
    <s v="Snacks"/>
    <x v="4"/>
    <x v="81"/>
    <n v="1.68"/>
    <n v="78.959999999999994"/>
  </r>
  <r>
    <d v="2020-03-20T00:00:00"/>
    <x v="1"/>
    <s v="Los Angeles"/>
    <s v="Bars"/>
    <x v="0"/>
    <x v="25"/>
    <n v="1.77"/>
    <n v="182.31"/>
  </r>
  <r>
    <d v="2020-03-23T00:00:00"/>
    <x v="1"/>
    <s v="Los Angeles"/>
    <s v="Snacks"/>
    <x v="4"/>
    <x v="0"/>
    <n v="1.68"/>
    <n v="55.44"/>
  </r>
  <r>
    <d v="2020-03-26T00:00:00"/>
    <x v="0"/>
    <s v="New York"/>
    <s v="Bars"/>
    <x v="6"/>
    <x v="82"/>
    <n v="1.87"/>
    <n v="106.59"/>
  </r>
  <r>
    <d v="2020-03-29T00:00:00"/>
    <x v="0"/>
    <s v="New York"/>
    <s v="Cookies"/>
    <x v="5"/>
    <x v="59"/>
    <n v="2.84"/>
    <n v="184.6"/>
  </r>
  <r>
    <d v="2020-04-01T00:00:00"/>
    <x v="1"/>
    <s v="San Diego"/>
    <s v="Bars"/>
    <x v="0"/>
    <x v="83"/>
    <n v="1.77"/>
    <n v="208.86"/>
  </r>
  <r>
    <d v="2020-04-04T00:00:00"/>
    <x v="0"/>
    <s v="Boston"/>
    <s v="Cookies"/>
    <x v="3"/>
    <x v="10"/>
    <n v="2.1800000000000002"/>
    <n v="78.48"/>
  </r>
  <r>
    <d v="2020-04-07T00:00:00"/>
    <x v="0"/>
    <s v="Boston"/>
    <s v="Cookies"/>
    <x v="5"/>
    <x v="16"/>
    <n v="2.84"/>
    <n v="349.32"/>
  </r>
  <r>
    <d v="2020-04-10T00:00:00"/>
    <x v="1"/>
    <s v="Los Angeles"/>
    <s v="Bars"/>
    <x v="0"/>
    <x v="68"/>
    <n v="1.77"/>
    <n v="159.30000000000001"/>
  </r>
  <r>
    <d v="2020-04-13T00:00:00"/>
    <x v="1"/>
    <s v="Los Angeles"/>
    <s v="Crackers"/>
    <x v="1"/>
    <x v="37"/>
    <n v="3.49"/>
    <n v="73.290000000000006"/>
  </r>
  <r>
    <d v="2020-04-16T00:00:00"/>
    <x v="0"/>
    <s v="New York"/>
    <s v="Bars"/>
    <x v="0"/>
    <x v="28"/>
    <n v="1.7699999999999998"/>
    <n v="84.96"/>
  </r>
  <r>
    <d v="2020-04-19T00:00:00"/>
    <x v="0"/>
    <s v="New York"/>
    <s v="Snacks"/>
    <x v="4"/>
    <x v="51"/>
    <n v="1.68"/>
    <n v="40.32"/>
  </r>
  <r>
    <d v="2020-04-22T00:00:00"/>
    <x v="1"/>
    <s v="San Diego"/>
    <s v="Cookies"/>
    <x v="2"/>
    <x v="84"/>
    <n v="1.87"/>
    <n v="125.29"/>
  </r>
  <r>
    <d v="2020-04-25T00:00:00"/>
    <x v="0"/>
    <s v="Boston"/>
    <s v="Bars"/>
    <x v="6"/>
    <x v="14"/>
    <n v="1.87"/>
    <n v="50.49"/>
  </r>
  <r>
    <d v="2020-04-28T00:00:00"/>
    <x v="0"/>
    <s v="Boston"/>
    <s v="Cookies"/>
    <x v="5"/>
    <x v="85"/>
    <n v="2.8400000000000003"/>
    <n v="366.36"/>
  </r>
  <r>
    <d v="2020-05-01T00:00:00"/>
    <x v="1"/>
    <s v="Los Angeles"/>
    <s v="Cookies"/>
    <x v="3"/>
    <x v="61"/>
    <n v="2.1800000000000002"/>
    <n v="167.86"/>
  </r>
  <r>
    <d v="2020-05-04T00:00:00"/>
    <x v="1"/>
    <s v="Los Angeles"/>
    <s v="Cookies"/>
    <x v="2"/>
    <x v="2"/>
    <n v="1.8699999999999999"/>
    <n v="108.46"/>
  </r>
  <r>
    <d v="2020-05-07T00:00:00"/>
    <x v="0"/>
    <s v="New York"/>
    <s v="Bars"/>
    <x v="6"/>
    <x v="81"/>
    <n v="1.87"/>
    <n v="87.89"/>
  </r>
  <r>
    <d v="2020-05-10T00:00:00"/>
    <x v="0"/>
    <s v="New York"/>
    <s v="Cookies"/>
    <x v="5"/>
    <x v="0"/>
    <n v="2.84"/>
    <n v="93.72"/>
  </r>
  <r>
    <d v="2020-05-13T00:00:00"/>
    <x v="1"/>
    <s v="San Diego"/>
    <s v="Cookies"/>
    <x v="2"/>
    <x v="3"/>
    <n v="1.87"/>
    <n v="153.34"/>
  </r>
  <r>
    <d v="2020-05-16T00:00:00"/>
    <x v="0"/>
    <s v="Boston"/>
    <s v="Bars"/>
    <x v="0"/>
    <x v="2"/>
    <n v="1.77"/>
    <n v="102.66"/>
  </r>
  <r>
    <d v="2020-05-19T00:00:00"/>
    <x v="0"/>
    <s v="Boston"/>
    <s v="Snacks"/>
    <x v="7"/>
    <x v="19"/>
    <n v="3.15"/>
    <n v="94.5"/>
  </r>
  <r>
    <d v="2020-05-22T00:00:00"/>
    <x v="1"/>
    <s v="Los Angeles"/>
    <s v="Cookies"/>
    <x v="2"/>
    <x v="15"/>
    <n v="1.8699999999999999"/>
    <n v="80.41"/>
  </r>
  <r>
    <d v="2020-05-25T00:00:00"/>
    <x v="0"/>
    <s v="New York"/>
    <s v="Bars"/>
    <x v="0"/>
    <x v="86"/>
    <n v="1.77"/>
    <n v="148.68"/>
  </r>
  <r>
    <d v="2020-05-28T00:00:00"/>
    <x v="1"/>
    <s v="San Diego"/>
    <s v="Cookies"/>
    <x v="3"/>
    <x v="10"/>
    <n v="2.1800000000000002"/>
    <n v="78.48"/>
  </r>
  <r>
    <d v="2020-05-31T00:00:00"/>
    <x v="1"/>
    <s v="San Diego"/>
    <s v="Cookies"/>
    <x v="5"/>
    <x v="12"/>
    <n v="2.84"/>
    <n v="124.96"/>
  </r>
  <r>
    <d v="2020-06-03T00:00:00"/>
    <x v="0"/>
    <s v="Boston"/>
    <s v="Bars"/>
    <x v="6"/>
    <x v="14"/>
    <n v="1.87"/>
    <n v="50.49"/>
  </r>
  <r>
    <d v="2020-06-06T00:00:00"/>
    <x v="0"/>
    <s v="Boston"/>
    <s v="Cookies"/>
    <x v="5"/>
    <x v="87"/>
    <n v="2.8400000000000003"/>
    <n v="340.8"/>
  </r>
  <r>
    <d v="2020-06-09T00:00:00"/>
    <x v="0"/>
    <s v="Boston"/>
    <s v="Crackers"/>
    <x v="1"/>
    <x v="88"/>
    <n v="3.4899999999999998"/>
    <n v="90.74"/>
  </r>
  <r>
    <d v="2020-06-12T00:00:00"/>
    <x v="1"/>
    <s v="Los Angeles"/>
    <s v="Bars"/>
    <x v="0"/>
    <x v="89"/>
    <n v="1.77"/>
    <n v="129.21"/>
  </r>
  <r>
    <d v="2020-06-15T00:00:00"/>
    <x v="0"/>
    <s v="New York"/>
    <s v="Bars"/>
    <x v="6"/>
    <x v="4"/>
    <n v="1.87"/>
    <n v="71.06"/>
  </r>
  <r>
    <d v="2020-06-18T00:00:00"/>
    <x v="0"/>
    <s v="New York"/>
    <s v="Cookies"/>
    <x v="5"/>
    <x v="21"/>
    <n v="2.84"/>
    <n v="113.6"/>
  </r>
  <r>
    <d v="2020-06-21T00:00:00"/>
    <x v="1"/>
    <s v="San Diego"/>
    <s v="Bars"/>
    <x v="0"/>
    <x v="74"/>
    <n v="1.7699999999999998"/>
    <n v="72.569999999999993"/>
  </r>
  <r>
    <d v="2020-06-24T00:00:00"/>
    <x v="0"/>
    <s v="Boston"/>
    <s v="Bars"/>
    <x v="8"/>
    <x v="14"/>
    <n v="2.27"/>
    <n v="61.29"/>
  </r>
  <r>
    <d v="2020-06-27T00:00:00"/>
    <x v="0"/>
    <s v="Boston"/>
    <s v="Cookies"/>
    <x v="2"/>
    <x v="4"/>
    <n v="1.87"/>
    <n v="71.06"/>
  </r>
  <r>
    <d v="2020-06-30T00:00:00"/>
    <x v="0"/>
    <s v="Boston"/>
    <s v="Crackers"/>
    <x v="1"/>
    <x v="78"/>
    <n v="3.4899999999999998"/>
    <n v="118.66"/>
  </r>
  <r>
    <d v="2020-07-03T00:00:00"/>
    <x v="1"/>
    <s v="Los Angeles"/>
    <s v="Bars"/>
    <x v="6"/>
    <x v="59"/>
    <n v="1.8699999999999999"/>
    <n v="121.55"/>
  </r>
  <r>
    <d v="2020-07-06T00:00:00"/>
    <x v="1"/>
    <s v="Los Angeles"/>
    <s v="Cookies"/>
    <x v="5"/>
    <x v="90"/>
    <n v="2.8400000000000003"/>
    <n v="170.4"/>
  </r>
  <r>
    <d v="2020-07-09T00:00:00"/>
    <x v="0"/>
    <s v="New York"/>
    <s v="Cookies"/>
    <x v="3"/>
    <x v="91"/>
    <n v="2.1799999999999997"/>
    <n v="80.66"/>
  </r>
  <r>
    <d v="2020-07-12T00:00:00"/>
    <x v="0"/>
    <s v="New York"/>
    <s v="Cookies"/>
    <x v="2"/>
    <x v="21"/>
    <n v="1.8699999999999999"/>
    <n v="74.8"/>
  </r>
  <r>
    <d v="2020-07-15T00:00:00"/>
    <x v="1"/>
    <s v="San Diego"/>
    <s v="Bars"/>
    <x v="6"/>
    <x v="88"/>
    <n v="1.8699999999999999"/>
    <n v="48.62"/>
  </r>
  <r>
    <d v="2020-07-18T00:00:00"/>
    <x v="0"/>
    <s v="Boston"/>
    <s v="Bars"/>
    <x v="8"/>
    <x v="92"/>
    <n v="2.27"/>
    <n v="49.94"/>
  </r>
  <r>
    <d v="2020-07-21T00:00:00"/>
    <x v="0"/>
    <s v="Boston"/>
    <s v="Cookies"/>
    <x v="2"/>
    <x v="65"/>
    <n v="1.87"/>
    <n v="59.84"/>
  </r>
  <r>
    <d v="2020-07-24T00:00:00"/>
    <x v="0"/>
    <s v="Boston"/>
    <s v="Crackers"/>
    <x v="1"/>
    <x v="13"/>
    <n v="3.4899999999999998"/>
    <n v="80.27"/>
  </r>
  <r>
    <d v="2020-07-27T00:00:00"/>
    <x v="1"/>
    <s v="Los Angeles"/>
    <s v="Cookies"/>
    <x v="3"/>
    <x v="30"/>
    <n v="2.1800000000000002"/>
    <n v="43.6"/>
  </r>
  <r>
    <d v="2020-07-30T00:00:00"/>
    <x v="1"/>
    <s v="Los Angeles"/>
    <s v="Cookies"/>
    <x v="2"/>
    <x v="32"/>
    <n v="1.87"/>
    <n v="119.68"/>
  </r>
  <r>
    <d v="2020-08-02T00:00:00"/>
    <x v="0"/>
    <s v="New York"/>
    <s v="Bars"/>
    <x v="0"/>
    <x v="93"/>
    <n v="1.77"/>
    <n v="125.67"/>
  </r>
  <r>
    <d v="2020-08-05T00:00:00"/>
    <x v="1"/>
    <s v="San Diego"/>
    <s v="Cookies"/>
    <x v="3"/>
    <x v="68"/>
    <n v="2.1799999999999997"/>
    <n v="196.2"/>
  </r>
  <r>
    <d v="2020-08-08T00:00:00"/>
    <x v="1"/>
    <s v="San Diego"/>
    <s v="Cookies"/>
    <x v="5"/>
    <x v="4"/>
    <n v="2.84"/>
    <n v="107.91999999999999"/>
  </r>
  <r>
    <d v="2020-08-11T00:00:00"/>
    <x v="0"/>
    <s v="Boston"/>
    <s v="Bars"/>
    <x v="0"/>
    <x v="39"/>
    <n v="1.7699999999999998"/>
    <n v="97.35"/>
  </r>
  <r>
    <d v="2020-08-14T00:00:00"/>
    <x v="0"/>
    <s v="Boston"/>
    <s v="Snacks"/>
    <x v="7"/>
    <x v="92"/>
    <n v="3.15"/>
    <n v="69.3"/>
  </r>
  <r>
    <d v="2020-08-17T00:00:00"/>
    <x v="1"/>
    <s v="Los Angeles"/>
    <s v="Bars"/>
    <x v="0"/>
    <x v="78"/>
    <n v="1.77"/>
    <n v="60.18"/>
  </r>
  <r>
    <d v="2020-08-20T00:00:00"/>
    <x v="0"/>
    <s v="New York"/>
    <s v="Bars"/>
    <x v="6"/>
    <x v="24"/>
    <n v="1.87"/>
    <n v="72.930000000000007"/>
  </r>
  <r>
    <d v="2020-08-23T00:00:00"/>
    <x v="0"/>
    <s v="New York"/>
    <s v="Cookies"/>
    <x v="5"/>
    <x v="74"/>
    <n v="2.84"/>
    <n v="116.44"/>
  </r>
  <r>
    <d v="2020-08-26T00:00:00"/>
    <x v="1"/>
    <s v="San Diego"/>
    <s v="Bars"/>
    <x v="0"/>
    <x v="74"/>
    <n v="1.7699999999999998"/>
    <n v="72.569999999999993"/>
  </r>
  <r>
    <d v="2020-08-29T00:00:00"/>
    <x v="0"/>
    <s v="Boston"/>
    <s v="Cookies"/>
    <x v="3"/>
    <x v="46"/>
    <n v="2.1800000000000002"/>
    <n v="296.48"/>
  </r>
  <r>
    <d v="2020-09-01T00:00:00"/>
    <x v="0"/>
    <s v="Boston"/>
    <s v="Bars"/>
    <x v="0"/>
    <x v="36"/>
    <n v="1.77"/>
    <n v="44.25"/>
  </r>
  <r>
    <d v="2020-09-04T00:00:00"/>
    <x v="0"/>
    <s v="Boston"/>
    <s v="Snacks"/>
    <x v="7"/>
    <x v="88"/>
    <n v="3.1500000000000004"/>
    <n v="81.900000000000006"/>
  </r>
  <r>
    <d v="2020-09-07T00:00:00"/>
    <x v="1"/>
    <s v="Los Angeles"/>
    <s v="Bars"/>
    <x v="6"/>
    <x v="94"/>
    <n v="1.87"/>
    <n v="93.5"/>
  </r>
  <r>
    <d v="2020-09-10T00:00:00"/>
    <x v="1"/>
    <s v="Los Angeles"/>
    <s v="Cookies"/>
    <x v="5"/>
    <x v="95"/>
    <n v="2.8400000000000003"/>
    <n v="224.36"/>
  </r>
  <r>
    <d v="2020-09-13T00:00:00"/>
    <x v="0"/>
    <s v="New York"/>
    <s v="Bars"/>
    <x v="0"/>
    <x v="19"/>
    <n v="1.77"/>
    <n v="53.1"/>
  </r>
  <r>
    <d v="2020-09-16T00:00:00"/>
    <x v="0"/>
    <s v="New York"/>
    <s v="Snacks"/>
    <x v="4"/>
    <x v="30"/>
    <n v="1.6800000000000002"/>
    <n v="33.6"/>
  </r>
  <r>
    <d v="2020-09-19T00:00:00"/>
    <x v="1"/>
    <s v="San Diego"/>
    <s v="Bars"/>
    <x v="0"/>
    <x v="38"/>
    <n v="1.77"/>
    <n v="86.73"/>
  </r>
  <r>
    <d v="2020-09-22T00:00:00"/>
    <x v="0"/>
    <s v="Boston"/>
    <s v="Cookies"/>
    <x v="3"/>
    <x v="21"/>
    <n v="2.1800000000000002"/>
    <n v="87.2"/>
  </r>
  <r>
    <d v="2020-09-25T00:00:00"/>
    <x v="0"/>
    <s v="Boston"/>
    <s v="Bars"/>
    <x v="0"/>
    <x v="11"/>
    <n v="1.77"/>
    <n v="54.87"/>
  </r>
  <r>
    <d v="2020-09-28T00:00:00"/>
    <x v="0"/>
    <s v="Boston"/>
    <s v="Snacks"/>
    <x v="7"/>
    <x v="37"/>
    <n v="3.1500000000000004"/>
    <n v="66.150000000000006"/>
  </r>
  <r>
    <d v="2020-10-01T00:00:00"/>
    <x v="1"/>
    <s v="Los Angeles"/>
    <s v="Bars"/>
    <x v="6"/>
    <x v="15"/>
    <n v="1.8699999999999999"/>
    <n v="80.41"/>
  </r>
  <r>
    <d v="2020-10-04T00:00:00"/>
    <x v="1"/>
    <s v="Los Angeles"/>
    <s v="Cookies"/>
    <x v="5"/>
    <x v="81"/>
    <n v="2.84"/>
    <n v="133.47999999999999"/>
  </r>
  <r>
    <d v="2020-10-07T00:00:00"/>
    <x v="0"/>
    <s v="New York"/>
    <s v="Cookies"/>
    <x v="3"/>
    <x v="96"/>
    <n v="2.1800000000000002"/>
    <n v="381.5"/>
  </r>
  <r>
    <d v="2020-10-10T00:00:00"/>
    <x v="0"/>
    <s v="New York"/>
    <s v="Cookies"/>
    <x v="2"/>
    <x v="13"/>
    <n v="1.8699999999999999"/>
    <n v="43.01"/>
  </r>
  <r>
    <d v="2020-10-13T00:00:00"/>
    <x v="1"/>
    <s v="San Diego"/>
    <s v="Bars"/>
    <x v="0"/>
    <x v="21"/>
    <n v="1.77"/>
    <n v="70.8"/>
  </r>
  <r>
    <d v="2020-10-16T00:00:00"/>
    <x v="0"/>
    <s v="Boston"/>
    <s v="Cookies"/>
    <x v="3"/>
    <x v="1"/>
    <n v="2.1800000000000002"/>
    <n v="189.66000000000003"/>
  </r>
  <r>
    <d v="2020-10-19T00:00:00"/>
    <x v="0"/>
    <s v="Boston"/>
    <s v="Bars"/>
    <x v="0"/>
    <x v="15"/>
    <n v="1.77"/>
    <n v="76.11"/>
  </r>
  <r>
    <d v="2020-10-22T00:00:00"/>
    <x v="0"/>
    <s v="Boston"/>
    <s v="Crackers"/>
    <x v="1"/>
    <x v="19"/>
    <n v="3.49"/>
    <n v="104.7"/>
  </r>
  <r>
    <d v="2020-10-25T00:00:00"/>
    <x v="1"/>
    <s v="Los Angeles"/>
    <s v="Bars"/>
    <x v="0"/>
    <x v="97"/>
    <n v="1.77"/>
    <n v="61.95"/>
  </r>
  <r>
    <d v="2020-10-28T00:00:00"/>
    <x v="0"/>
    <s v="New York"/>
    <s v="Bars"/>
    <x v="6"/>
    <x v="82"/>
    <n v="1.87"/>
    <n v="106.59"/>
  </r>
  <r>
    <d v="2020-10-31T00:00:00"/>
    <x v="0"/>
    <s v="New York"/>
    <s v="Snacks"/>
    <x v="4"/>
    <x v="36"/>
    <n v="1.68"/>
    <n v="42"/>
  </r>
  <r>
    <d v="2020-11-03T00:00:00"/>
    <x v="1"/>
    <s v="San Diego"/>
    <s v="Cookies"/>
    <x v="2"/>
    <x v="51"/>
    <n v="1.87"/>
    <n v="44.88"/>
  </r>
  <r>
    <d v="2020-11-06T00:00:00"/>
    <x v="0"/>
    <s v="Boston"/>
    <s v="Bars"/>
    <x v="6"/>
    <x v="76"/>
    <n v="1.87"/>
    <n v="155.21"/>
  </r>
  <r>
    <d v="2020-11-09T00:00:00"/>
    <x v="0"/>
    <s v="Boston"/>
    <s v="Cookies"/>
    <x v="5"/>
    <x v="98"/>
    <n v="2.8400000000000003"/>
    <n v="352.16"/>
  </r>
  <r>
    <d v="2020-11-12T00:00:00"/>
    <x v="1"/>
    <s v="Los Angeles"/>
    <s v="Bars"/>
    <x v="0"/>
    <x v="49"/>
    <n v="1.77"/>
    <n v="242.49"/>
  </r>
  <r>
    <d v="2020-11-15T00:00:00"/>
    <x v="0"/>
    <s v="New York"/>
    <s v="Cookies"/>
    <x v="3"/>
    <x v="99"/>
    <n v="2.1799999999999997"/>
    <n v="318.27999999999997"/>
  </r>
  <r>
    <d v="2020-11-18T00:00:00"/>
    <x v="0"/>
    <s v="New York"/>
    <s v="Cookies"/>
    <x v="2"/>
    <x v="78"/>
    <n v="1.8699999999999999"/>
    <n v="63.58"/>
  </r>
  <r>
    <d v="2020-11-21T00:00:00"/>
    <x v="1"/>
    <s v="San Diego"/>
    <s v="Bars"/>
    <x v="0"/>
    <x v="30"/>
    <n v="1.77"/>
    <n v="35.4"/>
  </r>
  <r>
    <d v="2020-11-24T00:00:00"/>
    <x v="0"/>
    <s v="Boston"/>
    <s v="Cookies"/>
    <x v="3"/>
    <x v="73"/>
    <n v="2.1799999999999997"/>
    <n v="303.02"/>
  </r>
  <r>
    <d v="2020-11-27T00:00:00"/>
    <x v="0"/>
    <s v="Boston"/>
    <s v="Cookies"/>
    <x v="2"/>
    <x v="100"/>
    <n v="1.8699999999999999"/>
    <n v="394.57"/>
  </r>
  <r>
    <d v="2020-11-30T00:00:00"/>
    <x v="0"/>
    <s v="Boston"/>
    <s v="Crackers"/>
    <x v="1"/>
    <x v="30"/>
    <n v="3.4899999999999998"/>
    <n v="69.8"/>
  </r>
  <r>
    <d v="2020-12-03T00:00:00"/>
    <x v="1"/>
    <s v="Los Angeles"/>
    <s v="Bars"/>
    <x v="6"/>
    <x v="17"/>
    <n v="1.87"/>
    <n v="78.540000000000006"/>
  </r>
  <r>
    <d v="2020-12-06T00:00:00"/>
    <x v="1"/>
    <s v="Los Angeles"/>
    <s v="Cookies"/>
    <x v="5"/>
    <x v="8"/>
    <n v="2.84"/>
    <n v="284"/>
  </r>
  <r>
    <d v="2020-12-09T00:00:00"/>
    <x v="0"/>
    <s v="New York"/>
    <s v="Bars"/>
    <x v="0"/>
    <x v="4"/>
    <n v="1.7700000000000002"/>
    <n v="67.260000000000005"/>
  </r>
  <r>
    <d v="2020-12-12T00:00:00"/>
    <x v="0"/>
    <s v="New York"/>
    <s v="Crackers"/>
    <x v="1"/>
    <x v="36"/>
    <n v="3.49"/>
    <n v="87.25"/>
  </r>
  <r>
    <d v="2020-12-15T00:00:00"/>
    <x v="1"/>
    <s v="San Diego"/>
    <s v="Cookies"/>
    <x v="2"/>
    <x v="101"/>
    <n v="1.87"/>
    <n v="179.52"/>
  </r>
  <r>
    <d v="2020-12-18T00:00:00"/>
    <x v="0"/>
    <s v="Boston"/>
    <s v="Cookies"/>
    <x v="3"/>
    <x v="78"/>
    <n v="2.1800000000000002"/>
    <n v="74.12"/>
  </r>
  <r>
    <d v="2020-12-21T00:00:00"/>
    <x v="0"/>
    <s v="Boston"/>
    <s v="Cookies"/>
    <x v="2"/>
    <x v="102"/>
    <n v="1.8699999999999999"/>
    <n v="458.15"/>
  </r>
  <r>
    <d v="2020-12-24T00:00:00"/>
    <x v="0"/>
    <s v="Boston"/>
    <s v="Crackers"/>
    <x v="1"/>
    <x v="19"/>
    <n v="3.49"/>
    <n v="104.7"/>
  </r>
  <r>
    <d v="2020-12-27T00:00:00"/>
    <x v="1"/>
    <s v="Los Angeles"/>
    <s v="Bars"/>
    <x v="6"/>
    <x v="19"/>
    <n v="1.87"/>
    <n v="56.1"/>
  </r>
  <r>
    <d v="2020-12-30T00:00:00"/>
    <x v="1"/>
    <s v="Los Angeles"/>
    <s v="Cookies"/>
    <x v="5"/>
    <x v="12"/>
    <n v="2.84"/>
    <n v="124.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4">
  <r>
    <d v="2019-01-01T00:00:00"/>
    <x v="0"/>
    <s v="Boston"/>
    <s v="Bars"/>
    <x v="0"/>
    <x v="0"/>
    <n v="1.7699999999999998"/>
    <n v="58.41"/>
  </r>
  <r>
    <d v="2019-01-04T00:00:00"/>
    <x v="0"/>
    <s v="Boston"/>
    <s v="Crackers"/>
    <x v="1"/>
    <x v="1"/>
    <n v="3.4899999999999998"/>
    <n v="303.63"/>
  </r>
  <r>
    <d v="2019-01-07T00:00:00"/>
    <x v="1"/>
    <s v="Los Angeles"/>
    <s v="Cookies"/>
    <x v="2"/>
    <x v="2"/>
    <n v="1.8699999999999999"/>
    <n v="108.46"/>
  </r>
  <r>
    <d v="2019-01-10T00:00:00"/>
    <x v="0"/>
    <s v="New York"/>
    <s v="Cookies"/>
    <x v="2"/>
    <x v="3"/>
    <n v="1.87"/>
    <n v="153.34"/>
  </r>
  <r>
    <d v="2019-01-13T00:00:00"/>
    <x v="0"/>
    <s v="Boston"/>
    <s v="Cookies"/>
    <x v="3"/>
    <x v="4"/>
    <n v="2.1800000000000002"/>
    <n v="82.84"/>
  </r>
  <r>
    <d v="2019-01-16T00:00:00"/>
    <x v="0"/>
    <s v="Boston"/>
    <s v="Bars"/>
    <x v="0"/>
    <x v="5"/>
    <n v="1.77"/>
    <n v="95.58"/>
  </r>
  <r>
    <d v="2019-01-19T00:00:00"/>
    <x v="0"/>
    <s v="Boston"/>
    <s v="Crackers"/>
    <x v="1"/>
    <x v="6"/>
    <n v="3.4899999999999998"/>
    <n v="520.01"/>
  </r>
  <r>
    <d v="2019-01-22T00:00:00"/>
    <x v="1"/>
    <s v="Los Angeles"/>
    <s v="Bars"/>
    <x v="0"/>
    <x v="7"/>
    <n v="1.77"/>
    <n v="90.27"/>
  </r>
  <r>
    <d v="2019-01-25T00:00:00"/>
    <x v="0"/>
    <s v="New York"/>
    <s v="Bars"/>
    <x v="0"/>
    <x v="8"/>
    <n v="1.77"/>
    <n v="177"/>
  </r>
  <r>
    <d v="2019-01-28T00:00:00"/>
    <x v="0"/>
    <s v="New York"/>
    <s v="Snacks"/>
    <x v="4"/>
    <x v="9"/>
    <n v="1.35"/>
    <n v="37.800000000000004"/>
  </r>
  <r>
    <d v="2019-01-31T00:00:00"/>
    <x v="0"/>
    <s v="Boston"/>
    <s v="Cookies"/>
    <x v="3"/>
    <x v="10"/>
    <n v="2.1800000000000002"/>
    <n v="78.48"/>
  </r>
  <r>
    <d v="2019-02-03T00:00:00"/>
    <x v="0"/>
    <s v="Boston"/>
    <s v="Cookies"/>
    <x v="2"/>
    <x v="11"/>
    <n v="1.8699999999999999"/>
    <n v="57.97"/>
  </r>
  <r>
    <d v="2019-02-06T00:00:00"/>
    <x v="0"/>
    <s v="Boston"/>
    <s v="Crackers"/>
    <x v="1"/>
    <x v="9"/>
    <n v="3.4899999999999998"/>
    <n v="97.72"/>
  </r>
  <r>
    <d v="2019-02-09T00:00:00"/>
    <x v="1"/>
    <s v="Los Angeles"/>
    <s v="Bars"/>
    <x v="0"/>
    <x v="12"/>
    <n v="1.7699999999999998"/>
    <n v="77.88"/>
  </r>
  <r>
    <d v="2019-02-12T00:00:00"/>
    <x v="0"/>
    <s v="New York"/>
    <s v="Bars"/>
    <x v="0"/>
    <x v="13"/>
    <n v="1.77"/>
    <n v="40.71"/>
  </r>
  <r>
    <d v="2019-02-15T00:00:00"/>
    <x v="0"/>
    <s v="New York"/>
    <s v="Snacks"/>
    <x v="4"/>
    <x v="14"/>
    <n v="1.35"/>
    <n v="36.450000000000003"/>
  </r>
  <r>
    <d v="2019-02-18T00:00:00"/>
    <x v="0"/>
    <s v="Boston"/>
    <s v="Cookies"/>
    <x v="3"/>
    <x v="15"/>
    <n v="2.1799999999999997"/>
    <n v="93.739999999999981"/>
  </r>
  <r>
    <d v="2019-02-21T00:00:00"/>
    <x v="0"/>
    <s v="Boston"/>
    <s v="Cookies"/>
    <x v="5"/>
    <x v="16"/>
    <n v="2.84"/>
    <n v="349.32"/>
  </r>
  <r>
    <d v="2019-02-24T00:00:00"/>
    <x v="1"/>
    <s v="Los Angeles"/>
    <s v="Bars"/>
    <x v="6"/>
    <x v="17"/>
    <n v="1.87"/>
    <n v="78.540000000000006"/>
  </r>
  <r>
    <d v="2019-02-27T00:00:00"/>
    <x v="1"/>
    <s v="Los Angeles"/>
    <s v="Cookies"/>
    <x v="5"/>
    <x v="0"/>
    <n v="2.84"/>
    <n v="93.72"/>
  </r>
  <r>
    <d v="2019-03-02T00:00:00"/>
    <x v="0"/>
    <s v="New York"/>
    <s v="Cookies"/>
    <x v="2"/>
    <x v="18"/>
    <n v="1.8699999999999999"/>
    <n v="158.94999999999999"/>
  </r>
  <r>
    <d v="2019-03-05T00:00:00"/>
    <x v="1"/>
    <s v="San Diego"/>
    <s v="Cookies"/>
    <x v="5"/>
    <x v="19"/>
    <n v="2.8400000000000003"/>
    <n v="85.2"/>
  </r>
  <r>
    <d v="2019-03-08T00:00:00"/>
    <x v="0"/>
    <s v="Boston"/>
    <s v="Bars"/>
    <x v="0"/>
    <x v="20"/>
    <n v="1.77"/>
    <n v="107.97"/>
  </r>
  <r>
    <d v="2019-03-11T00:00:00"/>
    <x v="0"/>
    <s v="Boston"/>
    <s v="Crackers"/>
    <x v="1"/>
    <x v="21"/>
    <n v="3.4899999999999998"/>
    <n v="139.6"/>
  </r>
  <r>
    <d v="2019-03-14T00:00:00"/>
    <x v="1"/>
    <s v="Los Angeles"/>
    <s v="Cookies"/>
    <x v="2"/>
    <x v="22"/>
    <n v="1.8699999999999999"/>
    <n v="160.82"/>
  </r>
  <r>
    <d v="2019-03-17T00:00:00"/>
    <x v="0"/>
    <s v="New York"/>
    <s v="Bars"/>
    <x v="0"/>
    <x v="4"/>
    <n v="1.7700000000000002"/>
    <n v="67.260000000000005"/>
  </r>
  <r>
    <d v="2019-03-20T00:00:00"/>
    <x v="0"/>
    <s v="New York"/>
    <s v="Snacks"/>
    <x v="4"/>
    <x v="23"/>
    <n v="1.68"/>
    <n v="114.24"/>
  </r>
  <r>
    <d v="2019-03-23T00:00:00"/>
    <x v="1"/>
    <s v="San Diego"/>
    <s v="Cookies"/>
    <x v="2"/>
    <x v="24"/>
    <n v="1.87"/>
    <n v="72.930000000000007"/>
  </r>
  <r>
    <d v="2019-03-26T00:00:00"/>
    <x v="0"/>
    <s v="Boston"/>
    <s v="Bars"/>
    <x v="6"/>
    <x v="25"/>
    <n v="1.87"/>
    <n v="192.61"/>
  </r>
  <r>
    <d v="2019-03-29T00:00:00"/>
    <x v="0"/>
    <s v="Boston"/>
    <s v="Cookies"/>
    <x v="5"/>
    <x v="26"/>
    <n v="2.84"/>
    <n v="548.12"/>
  </r>
  <r>
    <d v="2019-04-01T00:00:00"/>
    <x v="1"/>
    <s v="Los Angeles"/>
    <s v="Bars"/>
    <x v="0"/>
    <x v="2"/>
    <n v="1.77"/>
    <n v="102.66"/>
  </r>
  <r>
    <d v="2019-04-04T00:00:00"/>
    <x v="1"/>
    <s v="Los Angeles"/>
    <s v="Snacks"/>
    <x v="4"/>
    <x v="23"/>
    <n v="1.68"/>
    <n v="114.24"/>
  </r>
  <r>
    <d v="2019-04-07T00:00:00"/>
    <x v="0"/>
    <s v="New York"/>
    <s v="Bars"/>
    <x v="0"/>
    <x v="27"/>
    <n v="1.77"/>
    <n v="161.07"/>
  </r>
  <r>
    <d v="2019-04-10T00:00:00"/>
    <x v="0"/>
    <s v="New York"/>
    <s v="Crackers"/>
    <x v="1"/>
    <x v="13"/>
    <n v="3.4899999999999998"/>
    <n v="80.27"/>
  </r>
  <r>
    <d v="2019-04-13T00:00:00"/>
    <x v="1"/>
    <s v="San Diego"/>
    <s v="Snacks"/>
    <x v="4"/>
    <x v="9"/>
    <n v="1.68"/>
    <n v="47.04"/>
  </r>
  <r>
    <d v="2019-04-16T00:00:00"/>
    <x v="0"/>
    <s v="Boston"/>
    <s v="Bars"/>
    <x v="0"/>
    <x v="28"/>
    <n v="1.7699999999999998"/>
    <n v="84.96"/>
  </r>
  <r>
    <d v="2019-04-19T00:00:00"/>
    <x v="0"/>
    <s v="Boston"/>
    <s v="Snacks"/>
    <x v="4"/>
    <x v="29"/>
    <n v="1.68"/>
    <n v="225.12"/>
  </r>
  <r>
    <d v="2019-04-22T00:00:00"/>
    <x v="1"/>
    <s v="Los Angeles"/>
    <s v="Bars"/>
    <x v="0"/>
    <x v="30"/>
    <n v="1.77"/>
    <n v="35.4"/>
  </r>
  <r>
    <d v="2019-04-25T00:00:00"/>
    <x v="0"/>
    <s v="New York"/>
    <s v="Bars"/>
    <x v="0"/>
    <x v="31"/>
    <n v="1.77"/>
    <n v="93.81"/>
  </r>
  <r>
    <d v="2019-04-28T00:00:00"/>
    <x v="0"/>
    <s v="New York"/>
    <s v="Snacks"/>
    <x v="4"/>
    <x v="32"/>
    <n v="1.68"/>
    <n v="107.52"/>
  </r>
  <r>
    <d v="2019-05-01T00:00:00"/>
    <x v="1"/>
    <s v="San Diego"/>
    <s v="Cookies"/>
    <x v="2"/>
    <x v="33"/>
    <n v="1.87"/>
    <n v="117.81"/>
  </r>
  <r>
    <d v="2019-05-04T00:00:00"/>
    <x v="0"/>
    <s v="Boston"/>
    <s v="Bars"/>
    <x v="6"/>
    <x v="34"/>
    <n v="1.8699999999999999"/>
    <n v="196.35"/>
  </r>
  <r>
    <d v="2019-05-07T00:00:00"/>
    <x v="0"/>
    <s v="Boston"/>
    <s v="Cookies"/>
    <x v="5"/>
    <x v="35"/>
    <n v="2.8400000000000003"/>
    <n v="391.92"/>
  </r>
  <r>
    <d v="2019-05-10T00:00:00"/>
    <x v="1"/>
    <s v="Los Angeles"/>
    <s v="Bars"/>
    <x v="0"/>
    <x v="36"/>
    <n v="1.77"/>
    <n v="44.25"/>
  </r>
  <r>
    <d v="2019-05-13T00:00:00"/>
    <x v="1"/>
    <s v="Los Angeles"/>
    <s v="Crackers"/>
    <x v="1"/>
    <x v="37"/>
    <n v="3.49"/>
    <n v="73.290000000000006"/>
  </r>
  <r>
    <d v="2019-05-16T00:00:00"/>
    <x v="0"/>
    <s v="New York"/>
    <s v="Bars"/>
    <x v="0"/>
    <x v="20"/>
    <n v="1.77"/>
    <n v="107.97"/>
  </r>
  <r>
    <d v="2019-05-19T00:00:00"/>
    <x v="0"/>
    <s v="New York"/>
    <s v="Snacks"/>
    <x v="4"/>
    <x v="38"/>
    <n v="1.68"/>
    <n v="82.32"/>
  </r>
  <r>
    <d v="2019-05-22T00:00:00"/>
    <x v="1"/>
    <s v="San Diego"/>
    <s v="Cookies"/>
    <x v="2"/>
    <x v="39"/>
    <n v="1.8699999999999999"/>
    <n v="102.85"/>
  </r>
  <r>
    <d v="2019-05-25T00:00:00"/>
    <x v="0"/>
    <s v="Boston"/>
    <s v="Cookies"/>
    <x v="3"/>
    <x v="14"/>
    <n v="2.1800000000000002"/>
    <n v="58.860000000000007"/>
  </r>
  <r>
    <d v="2019-05-28T00:00:00"/>
    <x v="0"/>
    <s v="Boston"/>
    <s v="Bars"/>
    <x v="0"/>
    <x v="2"/>
    <n v="1.77"/>
    <n v="102.66"/>
  </r>
  <r>
    <d v="2019-05-31T00:00:00"/>
    <x v="0"/>
    <s v="Boston"/>
    <s v="Crackers"/>
    <x v="1"/>
    <x v="0"/>
    <n v="3.49"/>
    <n v="115.17"/>
  </r>
  <r>
    <d v="2019-06-03T00:00:00"/>
    <x v="1"/>
    <s v="Los Angeles"/>
    <s v="Cookies"/>
    <x v="5"/>
    <x v="40"/>
    <n v="2.84"/>
    <n v="817.92"/>
  </r>
  <r>
    <d v="2019-06-06T00:00:00"/>
    <x v="0"/>
    <s v="New York"/>
    <s v="Cookies"/>
    <x v="2"/>
    <x v="41"/>
    <n v="1.87"/>
    <n v="142.12"/>
  </r>
  <r>
    <d v="2019-06-09T00:00:00"/>
    <x v="1"/>
    <s v="San Diego"/>
    <s v="Bars"/>
    <x v="0"/>
    <x v="17"/>
    <n v="1.77"/>
    <n v="74.34"/>
  </r>
  <r>
    <d v="2019-06-12T00:00:00"/>
    <x v="1"/>
    <s v="San Diego"/>
    <s v="Crackers"/>
    <x v="1"/>
    <x v="30"/>
    <n v="3.4899999999999998"/>
    <n v="69.8"/>
  </r>
  <r>
    <d v="2019-06-15T00:00:00"/>
    <x v="0"/>
    <s v="Boston"/>
    <s v="Bars"/>
    <x v="0"/>
    <x v="42"/>
    <n v="1.77"/>
    <n v="132.75"/>
  </r>
  <r>
    <d v="2019-06-18T00:00:00"/>
    <x v="0"/>
    <s v="Boston"/>
    <s v="Crackers"/>
    <x v="1"/>
    <x v="4"/>
    <n v="3.49"/>
    <n v="132.62"/>
  </r>
  <r>
    <d v="2019-06-21T00:00:00"/>
    <x v="1"/>
    <s v="Los Angeles"/>
    <s v="Bars"/>
    <x v="0"/>
    <x v="43"/>
    <n v="1.77"/>
    <n v="541.62"/>
  </r>
  <r>
    <d v="2019-06-24T00:00:00"/>
    <x v="1"/>
    <s v="Los Angeles"/>
    <s v="Snacks"/>
    <x v="4"/>
    <x v="9"/>
    <n v="1.68"/>
    <n v="47.04"/>
  </r>
  <r>
    <d v="2019-06-27T00:00:00"/>
    <x v="0"/>
    <s v="New York"/>
    <s v="Bars"/>
    <x v="6"/>
    <x v="44"/>
    <n v="1.8699999999999999"/>
    <n v="205.7"/>
  </r>
  <r>
    <d v="2019-06-30T00:00:00"/>
    <x v="0"/>
    <s v="New York"/>
    <s v="Cookies"/>
    <x v="5"/>
    <x v="7"/>
    <n v="2.84"/>
    <n v="144.84"/>
  </r>
  <r>
    <d v="2019-07-03T00:00:00"/>
    <x v="1"/>
    <s v="San Diego"/>
    <s v="Bars"/>
    <x v="0"/>
    <x v="45"/>
    <n v="1.77"/>
    <n v="92.04"/>
  </r>
  <r>
    <d v="2019-07-06T00:00:00"/>
    <x v="1"/>
    <s v="San Diego"/>
    <s v="Crackers"/>
    <x v="1"/>
    <x v="9"/>
    <n v="3.4899999999999998"/>
    <n v="97.72"/>
  </r>
  <r>
    <d v="2019-07-09T00:00:00"/>
    <x v="0"/>
    <s v="Boston"/>
    <s v="Bars"/>
    <x v="0"/>
    <x v="46"/>
    <n v="1.77"/>
    <n v="240.72"/>
  </r>
  <r>
    <d v="2019-07-12T00:00:00"/>
    <x v="0"/>
    <s v="Boston"/>
    <s v="Crackers"/>
    <x v="1"/>
    <x v="17"/>
    <n v="3.49"/>
    <n v="146.58000000000001"/>
  </r>
  <r>
    <d v="2019-07-15T00:00:00"/>
    <x v="1"/>
    <s v="Los Angeles"/>
    <s v="Cookies"/>
    <x v="2"/>
    <x v="42"/>
    <n v="1.87"/>
    <n v="140.25"/>
  </r>
  <r>
    <d v="2019-07-18T00:00:00"/>
    <x v="0"/>
    <s v="New York"/>
    <s v="Bars"/>
    <x v="6"/>
    <x v="47"/>
    <n v="1.8699999999999999"/>
    <n v="134.63999999999999"/>
  </r>
  <r>
    <d v="2019-07-21T00:00:00"/>
    <x v="0"/>
    <s v="New York"/>
    <s v="Cookies"/>
    <x v="5"/>
    <x v="48"/>
    <n v="2.84"/>
    <n v="159.04"/>
  </r>
  <r>
    <d v="2019-07-24T00:00:00"/>
    <x v="1"/>
    <s v="San Diego"/>
    <s v="Bars"/>
    <x v="6"/>
    <x v="7"/>
    <n v="1.87"/>
    <n v="95.37"/>
  </r>
  <r>
    <d v="2019-07-27T00:00:00"/>
    <x v="1"/>
    <s v="San Diego"/>
    <s v="Snacks"/>
    <x v="4"/>
    <x v="11"/>
    <n v="1.68"/>
    <n v="52.08"/>
  </r>
  <r>
    <d v="2019-07-30T00:00:00"/>
    <x v="0"/>
    <s v="Boston"/>
    <s v="Bars"/>
    <x v="6"/>
    <x v="48"/>
    <n v="1.8699999999999999"/>
    <n v="104.72"/>
  </r>
  <r>
    <d v="2019-08-02T00:00:00"/>
    <x v="0"/>
    <s v="Boston"/>
    <s v="Cookies"/>
    <x v="5"/>
    <x v="49"/>
    <n v="2.84"/>
    <n v="389.08"/>
  </r>
  <r>
    <d v="2019-08-05T00:00:00"/>
    <x v="1"/>
    <s v="Los Angeles"/>
    <s v="Cookies"/>
    <x v="2"/>
    <x v="50"/>
    <n v="1.87"/>
    <n v="200.09"/>
  </r>
  <r>
    <d v="2019-08-08T00:00:00"/>
    <x v="0"/>
    <s v="New York"/>
    <s v="Bars"/>
    <x v="0"/>
    <x v="51"/>
    <n v="1.7699999999999998"/>
    <n v="42.48"/>
  </r>
  <r>
    <d v="2019-08-11T00:00:00"/>
    <x v="0"/>
    <s v="New York"/>
    <s v="Crackers"/>
    <x v="1"/>
    <x v="19"/>
    <n v="3.49"/>
    <n v="104.7"/>
  </r>
  <r>
    <d v="2019-08-14T00:00:00"/>
    <x v="1"/>
    <s v="San Diego"/>
    <s v="Cookies"/>
    <x v="2"/>
    <x v="52"/>
    <n v="1.87"/>
    <n v="130.9"/>
  </r>
  <r>
    <d v="2019-08-17T00:00:00"/>
    <x v="0"/>
    <s v="Boston"/>
    <s v="Cookies"/>
    <x v="3"/>
    <x v="11"/>
    <n v="2.1800000000000002"/>
    <n v="67.58"/>
  </r>
  <r>
    <d v="2019-08-20T00:00:00"/>
    <x v="0"/>
    <s v="Boston"/>
    <s v="Bars"/>
    <x v="0"/>
    <x v="53"/>
    <n v="1.77"/>
    <n v="192.93"/>
  </r>
  <r>
    <d v="2019-08-23T00:00:00"/>
    <x v="0"/>
    <s v="Boston"/>
    <s v="Crackers"/>
    <x v="1"/>
    <x v="37"/>
    <n v="3.49"/>
    <n v="73.290000000000006"/>
  </r>
  <r>
    <d v="2019-08-26T00:00:00"/>
    <x v="1"/>
    <s v="Los Angeles"/>
    <s v="Cookies"/>
    <x v="2"/>
    <x v="54"/>
    <n v="1.8699999999999999"/>
    <n v="149.6"/>
  </r>
  <r>
    <d v="2019-08-29T00:00:00"/>
    <x v="0"/>
    <s v="New York"/>
    <s v="Bars"/>
    <x v="6"/>
    <x v="42"/>
    <n v="1.87"/>
    <n v="140.25"/>
  </r>
  <r>
    <d v="2019-09-01T00:00:00"/>
    <x v="0"/>
    <s v="New York"/>
    <s v="Cookies"/>
    <x v="5"/>
    <x v="55"/>
    <n v="2.84"/>
    <n v="210.16"/>
  </r>
  <r>
    <d v="2019-09-04T00:00:00"/>
    <x v="1"/>
    <s v="San Diego"/>
    <s v="Bars"/>
    <x v="0"/>
    <x v="56"/>
    <n v="1.77"/>
    <n v="79.650000000000006"/>
  </r>
  <r>
    <d v="2019-09-07T00:00:00"/>
    <x v="0"/>
    <s v="Boston"/>
    <s v="Cookies"/>
    <x v="3"/>
    <x v="9"/>
    <n v="2.1800000000000002"/>
    <n v="61.040000000000006"/>
  </r>
  <r>
    <d v="2019-09-10T00:00:00"/>
    <x v="0"/>
    <s v="Boston"/>
    <s v="Bars"/>
    <x v="0"/>
    <x v="57"/>
    <n v="1.77"/>
    <n v="253.11"/>
  </r>
  <r>
    <d v="2019-09-13T00:00:00"/>
    <x v="0"/>
    <s v="Boston"/>
    <s v="Snacks"/>
    <x v="7"/>
    <x v="14"/>
    <n v="3.15"/>
    <n v="85.05"/>
  </r>
  <r>
    <d v="2019-09-16T00:00:00"/>
    <x v="1"/>
    <s v="Los Angeles"/>
    <s v="Bars"/>
    <x v="0"/>
    <x v="58"/>
    <n v="1.77"/>
    <n v="235.41"/>
  </r>
  <r>
    <d v="2019-09-19T00:00:00"/>
    <x v="0"/>
    <s v="New York"/>
    <s v="Cookies"/>
    <x v="3"/>
    <x v="44"/>
    <n v="2.1800000000000002"/>
    <n v="239.8"/>
  </r>
  <r>
    <d v="2019-09-22T00:00:00"/>
    <x v="0"/>
    <s v="New York"/>
    <s v="Cookies"/>
    <x v="2"/>
    <x v="59"/>
    <n v="1.8699999999999999"/>
    <n v="121.55"/>
  </r>
  <r>
    <d v="2019-09-25T00:00:00"/>
    <x v="1"/>
    <s v="San Diego"/>
    <s v="Bars"/>
    <x v="6"/>
    <x v="0"/>
    <n v="1.87"/>
    <n v="61.71"/>
  </r>
  <r>
    <d v="2019-09-28T00:00:00"/>
    <x v="0"/>
    <s v="Boston"/>
    <s v="Cookies"/>
    <x v="3"/>
    <x v="60"/>
    <n v="2.1800000000000002"/>
    <n v="176.58"/>
  </r>
  <r>
    <d v="2019-10-01T00:00:00"/>
    <x v="0"/>
    <s v="Boston"/>
    <s v="Bars"/>
    <x v="0"/>
    <x v="61"/>
    <n v="1.7699999999999998"/>
    <n v="136.29"/>
  </r>
  <r>
    <d v="2019-10-04T00:00:00"/>
    <x v="0"/>
    <s v="Boston"/>
    <s v="Crackers"/>
    <x v="1"/>
    <x v="4"/>
    <n v="3.49"/>
    <n v="132.62"/>
  </r>
  <r>
    <d v="2019-10-07T00:00:00"/>
    <x v="1"/>
    <s v="Los Angeles"/>
    <s v="Bars"/>
    <x v="0"/>
    <x v="21"/>
    <n v="1.77"/>
    <n v="70.8"/>
  </r>
  <r>
    <d v="2019-10-10T00:00:00"/>
    <x v="1"/>
    <s v="Los Angeles"/>
    <s v="Snacks"/>
    <x v="4"/>
    <x v="62"/>
    <n v="1.6800000000000002"/>
    <n v="191.52"/>
  </r>
  <r>
    <d v="2019-10-13T00:00:00"/>
    <x v="0"/>
    <s v="New York"/>
    <s v="Cookies"/>
    <x v="3"/>
    <x v="63"/>
    <n v="2.1800000000000002"/>
    <n v="488.32000000000005"/>
  </r>
  <r>
    <d v="2019-10-16T00:00:00"/>
    <x v="0"/>
    <s v="New York"/>
    <s v="Bars"/>
    <x v="0"/>
    <x v="64"/>
    <n v="1.77"/>
    <n v="249.57"/>
  </r>
  <r>
    <d v="2019-10-19T00:00:00"/>
    <x v="0"/>
    <s v="New York"/>
    <s v="Crackers"/>
    <x v="1"/>
    <x v="65"/>
    <n v="3.49"/>
    <n v="111.68"/>
  </r>
  <r>
    <d v="2019-10-22T00:00:00"/>
    <x v="1"/>
    <s v="San Diego"/>
    <s v="Bars"/>
    <x v="0"/>
    <x v="30"/>
    <n v="1.77"/>
    <n v="35.4"/>
  </r>
  <r>
    <d v="2019-10-25T00:00:00"/>
    <x v="0"/>
    <s v="Boston"/>
    <s v="Cookies"/>
    <x v="3"/>
    <x v="21"/>
    <n v="2.1800000000000002"/>
    <n v="87.2"/>
  </r>
  <r>
    <d v="2019-10-28T00:00:00"/>
    <x v="0"/>
    <s v="Boston"/>
    <s v="Cookies"/>
    <x v="2"/>
    <x v="38"/>
    <n v="1.8699999999999999"/>
    <n v="91.63"/>
  </r>
  <r>
    <d v="2019-10-31T00:00:00"/>
    <x v="0"/>
    <s v="Boston"/>
    <s v="Crackers"/>
    <x v="1"/>
    <x v="66"/>
    <n v="3.4899999999999998"/>
    <n v="160.54"/>
  </r>
  <r>
    <d v="2019-11-03T00:00:00"/>
    <x v="1"/>
    <s v="Los Angeles"/>
    <s v="Bars"/>
    <x v="0"/>
    <x v="24"/>
    <n v="1.77"/>
    <n v="69.03"/>
  </r>
  <r>
    <d v="2019-11-06T00:00:00"/>
    <x v="1"/>
    <s v="Los Angeles"/>
    <s v="Snacks"/>
    <x v="4"/>
    <x v="67"/>
    <n v="1.68"/>
    <n v="104.16"/>
  </r>
  <r>
    <d v="2019-11-09T00:00:00"/>
    <x v="0"/>
    <s v="New York"/>
    <s v="Bars"/>
    <x v="0"/>
    <x v="68"/>
    <n v="1.77"/>
    <n v="159.30000000000001"/>
  </r>
  <r>
    <d v="2019-11-12T00:00:00"/>
    <x v="1"/>
    <s v="San Diego"/>
    <s v="Cookies"/>
    <x v="3"/>
    <x v="25"/>
    <n v="2.1799999999999997"/>
    <n v="224.53999999999996"/>
  </r>
  <r>
    <d v="2019-11-15T00:00:00"/>
    <x v="1"/>
    <s v="San Diego"/>
    <s v="Cookies"/>
    <x v="5"/>
    <x v="65"/>
    <n v="2.84"/>
    <n v="90.88"/>
  </r>
  <r>
    <d v="2019-11-18T00:00:00"/>
    <x v="0"/>
    <s v="Boston"/>
    <s v="Bars"/>
    <x v="6"/>
    <x v="69"/>
    <n v="1.87"/>
    <n v="123.42"/>
  </r>
  <r>
    <d v="2019-11-21T00:00:00"/>
    <x v="0"/>
    <s v="Boston"/>
    <s v="Cookies"/>
    <x v="5"/>
    <x v="70"/>
    <n v="2.8400000000000003"/>
    <n v="275.48"/>
  </r>
  <r>
    <d v="2019-11-24T00:00:00"/>
    <x v="1"/>
    <s v="Los Angeles"/>
    <s v="Bars"/>
    <x v="0"/>
    <x v="19"/>
    <n v="1.77"/>
    <n v="53.1"/>
  </r>
  <r>
    <d v="2019-11-27T00:00:00"/>
    <x v="1"/>
    <s v="Los Angeles"/>
    <s v="Snacks"/>
    <x v="4"/>
    <x v="71"/>
    <n v="1.68"/>
    <n v="48.72"/>
  </r>
  <r>
    <d v="2019-11-30T00:00:00"/>
    <x v="0"/>
    <s v="New York"/>
    <s v="Bars"/>
    <x v="0"/>
    <x v="72"/>
    <n v="1.77"/>
    <n v="162.84"/>
  </r>
  <r>
    <d v="2019-12-03T00:00:00"/>
    <x v="1"/>
    <s v="San Diego"/>
    <s v="Cookies"/>
    <x v="3"/>
    <x v="73"/>
    <n v="2.1799999999999997"/>
    <n v="303.02"/>
  </r>
  <r>
    <d v="2019-12-06T00:00:00"/>
    <x v="1"/>
    <s v="San Diego"/>
    <s v="Cookies"/>
    <x v="5"/>
    <x v="71"/>
    <n v="2.84"/>
    <n v="82.36"/>
  </r>
  <r>
    <d v="2019-12-09T00:00:00"/>
    <x v="0"/>
    <s v="Boston"/>
    <s v="Bars"/>
    <x v="8"/>
    <x v="19"/>
    <n v="2.27"/>
    <n v="68.099999999999994"/>
  </r>
  <r>
    <d v="2019-12-12T00:00:00"/>
    <x v="0"/>
    <s v="Boston"/>
    <s v="Cookies"/>
    <x v="2"/>
    <x v="10"/>
    <n v="1.8699999999999999"/>
    <n v="67.319999999999993"/>
  </r>
  <r>
    <d v="2019-12-15T00:00:00"/>
    <x v="0"/>
    <s v="Boston"/>
    <s v="Crackers"/>
    <x v="1"/>
    <x v="74"/>
    <n v="3.49"/>
    <n v="143.09"/>
  </r>
  <r>
    <d v="2019-12-18T00:00:00"/>
    <x v="1"/>
    <s v="Los Angeles"/>
    <s v="Bars"/>
    <x v="0"/>
    <x v="12"/>
    <n v="1.7699999999999998"/>
    <n v="77.88"/>
  </r>
  <r>
    <d v="2019-12-21T00:00:00"/>
    <x v="1"/>
    <s v="Los Angeles"/>
    <s v="Snacks"/>
    <x v="4"/>
    <x v="71"/>
    <n v="1.68"/>
    <n v="48.72"/>
  </r>
  <r>
    <d v="2019-12-24T00:00:00"/>
    <x v="0"/>
    <s v="New York"/>
    <s v="Cookies"/>
    <x v="3"/>
    <x v="75"/>
    <n v="2.1799999999999997"/>
    <n v="516.66"/>
  </r>
  <r>
    <d v="2019-12-27T00:00:00"/>
    <x v="0"/>
    <s v="New York"/>
    <s v="Cookies"/>
    <x v="2"/>
    <x v="59"/>
    <n v="1.8699999999999999"/>
    <n v="121.55"/>
  </r>
  <r>
    <d v="2019-12-30T00:00:00"/>
    <x v="1"/>
    <s v="San Diego"/>
    <s v="Cookies"/>
    <x v="3"/>
    <x v="76"/>
    <n v="2.1800000000000002"/>
    <n v="180.94000000000003"/>
  </r>
  <r>
    <d v="2020-01-02T00:00:00"/>
    <x v="0"/>
    <s v="Boston"/>
    <s v="Cookies"/>
    <x v="3"/>
    <x v="65"/>
    <n v="2.1800000000000002"/>
    <n v="69.760000000000005"/>
  </r>
  <r>
    <d v="2020-01-05T00:00:00"/>
    <x v="0"/>
    <s v="Boston"/>
    <s v="Bars"/>
    <x v="0"/>
    <x v="33"/>
    <n v="1.77"/>
    <n v="111.51"/>
  </r>
  <r>
    <d v="2020-01-08T00:00:00"/>
    <x v="0"/>
    <s v="Boston"/>
    <s v="Snacks"/>
    <x v="7"/>
    <x v="71"/>
    <n v="3.15"/>
    <n v="91.35"/>
  </r>
  <r>
    <d v="2020-01-11T00:00:00"/>
    <x v="1"/>
    <s v="Los Angeles"/>
    <s v="Bars"/>
    <x v="6"/>
    <x v="61"/>
    <n v="1.87"/>
    <n v="143.99"/>
  </r>
  <r>
    <d v="2020-01-14T00:00:00"/>
    <x v="1"/>
    <s v="Los Angeles"/>
    <s v="Cookies"/>
    <x v="5"/>
    <x v="54"/>
    <n v="2.84"/>
    <n v="227.2"/>
  </r>
  <r>
    <d v="2020-01-17T00:00:00"/>
    <x v="0"/>
    <s v="New York"/>
    <s v="Bars"/>
    <x v="0"/>
    <x v="77"/>
    <n v="1.77"/>
    <n v="180.54"/>
  </r>
  <r>
    <d v="2020-01-20T00:00:00"/>
    <x v="0"/>
    <s v="New York"/>
    <s v="Crackers"/>
    <x v="1"/>
    <x v="11"/>
    <n v="3.4899999999999998"/>
    <n v="108.19"/>
  </r>
  <r>
    <d v="2020-01-23T00:00:00"/>
    <x v="1"/>
    <s v="San Diego"/>
    <s v="Bars"/>
    <x v="0"/>
    <x v="48"/>
    <n v="1.77"/>
    <n v="99.12"/>
  </r>
  <r>
    <d v="2020-01-26T00:00:00"/>
    <x v="0"/>
    <s v="Boston"/>
    <s v="Cookies"/>
    <x v="3"/>
    <x v="45"/>
    <n v="2.1800000000000002"/>
    <n v="113.36000000000001"/>
  </r>
  <r>
    <d v="2020-01-29T00:00:00"/>
    <x v="0"/>
    <s v="Boston"/>
    <s v="Bars"/>
    <x v="0"/>
    <x v="7"/>
    <n v="1.77"/>
    <n v="90.27"/>
  </r>
  <r>
    <d v="2020-02-01T00:00:00"/>
    <x v="0"/>
    <s v="Boston"/>
    <s v="Snacks"/>
    <x v="4"/>
    <x v="51"/>
    <n v="1.68"/>
    <n v="40.32"/>
  </r>
  <r>
    <d v="2020-02-04T00:00:00"/>
    <x v="1"/>
    <s v="Los Angeles"/>
    <s v="Cookies"/>
    <x v="3"/>
    <x v="2"/>
    <n v="2.1800000000000002"/>
    <n v="126.44000000000001"/>
  </r>
  <r>
    <d v="2020-02-07T00:00:00"/>
    <x v="1"/>
    <s v="Los Angeles"/>
    <s v="Cookies"/>
    <x v="2"/>
    <x v="78"/>
    <n v="1.8699999999999999"/>
    <n v="63.58"/>
  </r>
  <r>
    <d v="2020-02-10T00:00:00"/>
    <x v="0"/>
    <s v="New York"/>
    <s v="Bars"/>
    <x v="0"/>
    <x v="78"/>
    <n v="1.77"/>
    <n v="60.18"/>
  </r>
  <r>
    <d v="2020-02-13T00:00:00"/>
    <x v="0"/>
    <s v="New York"/>
    <s v="Snacks"/>
    <x v="4"/>
    <x v="37"/>
    <n v="1.6800000000000002"/>
    <n v="35.28"/>
  </r>
  <r>
    <d v="2020-02-16T00:00:00"/>
    <x v="1"/>
    <s v="San Diego"/>
    <s v="Cookies"/>
    <x v="5"/>
    <x v="71"/>
    <n v="2.84"/>
    <n v="82.36"/>
  </r>
  <r>
    <d v="2020-02-19T00:00:00"/>
    <x v="0"/>
    <s v="Boston"/>
    <s v="Bars"/>
    <x v="0"/>
    <x v="23"/>
    <n v="1.77"/>
    <n v="120.36"/>
  </r>
  <r>
    <d v="2020-02-22T00:00:00"/>
    <x v="0"/>
    <s v="Boston"/>
    <s v="Snacks"/>
    <x v="7"/>
    <x v="11"/>
    <n v="3.1500000000000004"/>
    <n v="97.65"/>
  </r>
  <r>
    <d v="2020-02-25T00:00:00"/>
    <x v="1"/>
    <s v="Los Angeles"/>
    <s v="Cookies"/>
    <x v="3"/>
    <x v="19"/>
    <n v="2.1800000000000002"/>
    <n v="65.400000000000006"/>
  </r>
  <r>
    <d v="2020-02-28T00:00:00"/>
    <x v="1"/>
    <s v="Los Angeles"/>
    <s v="Cookies"/>
    <x v="2"/>
    <x v="79"/>
    <n v="1.8699999999999999"/>
    <n v="433.84"/>
  </r>
  <r>
    <d v="2020-03-02T00:00:00"/>
    <x v="0"/>
    <s v="New York"/>
    <s v="Bars"/>
    <x v="6"/>
    <x v="23"/>
    <n v="1.8699999999999999"/>
    <n v="127.16"/>
  </r>
  <r>
    <d v="2020-03-05T00:00:00"/>
    <x v="0"/>
    <s v="New York"/>
    <s v="Cookies"/>
    <x v="5"/>
    <x v="70"/>
    <n v="2.8400000000000003"/>
    <n v="275.48"/>
  </r>
  <r>
    <d v="2020-03-08T00:00:00"/>
    <x v="1"/>
    <s v="San Diego"/>
    <s v="Bars"/>
    <x v="6"/>
    <x v="22"/>
    <n v="1.8699999999999999"/>
    <n v="160.82"/>
  </r>
  <r>
    <d v="2020-03-11T00:00:00"/>
    <x v="1"/>
    <s v="San Diego"/>
    <s v="Snacks"/>
    <x v="4"/>
    <x v="74"/>
    <n v="1.68"/>
    <n v="68.88"/>
  </r>
  <r>
    <d v="2020-03-14T00:00:00"/>
    <x v="0"/>
    <s v="Boston"/>
    <s v="Bars"/>
    <x v="0"/>
    <x v="80"/>
    <n v="1.7700000000000002"/>
    <n v="164.61"/>
  </r>
  <r>
    <d v="2020-03-17T00:00:00"/>
    <x v="0"/>
    <s v="Boston"/>
    <s v="Snacks"/>
    <x v="4"/>
    <x v="81"/>
    <n v="1.68"/>
    <n v="78.959999999999994"/>
  </r>
  <r>
    <d v="2020-03-20T00:00:00"/>
    <x v="1"/>
    <s v="Los Angeles"/>
    <s v="Bars"/>
    <x v="0"/>
    <x v="25"/>
    <n v="1.77"/>
    <n v="182.31"/>
  </r>
  <r>
    <d v="2020-03-23T00:00:00"/>
    <x v="1"/>
    <s v="Los Angeles"/>
    <s v="Snacks"/>
    <x v="4"/>
    <x v="0"/>
    <n v="1.68"/>
    <n v="55.44"/>
  </r>
  <r>
    <d v="2020-03-26T00:00:00"/>
    <x v="0"/>
    <s v="New York"/>
    <s v="Bars"/>
    <x v="6"/>
    <x v="82"/>
    <n v="1.87"/>
    <n v="106.59"/>
  </r>
  <r>
    <d v="2020-03-29T00:00:00"/>
    <x v="0"/>
    <s v="New York"/>
    <s v="Cookies"/>
    <x v="5"/>
    <x v="59"/>
    <n v="2.84"/>
    <n v="184.6"/>
  </r>
  <r>
    <d v="2020-04-01T00:00:00"/>
    <x v="1"/>
    <s v="San Diego"/>
    <s v="Bars"/>
    <x v="0"/>
    <x v="83"/>
    <n v="1.77"/>
    <n v="208.86"/>
  </r>
  <r>
    <d v="2020-04-04T00:00:00"/>
    <x v="0"/>
    <s v="Boston"/>
    <s v="Cookies"/>
    <x v="3"/>
    <x v="10"/>
    <n v="2.1800000000000002"/>
    <n v="78.48"/>
  </r>
  <r>
    <d v="2020-04-07T00:00:00"/>
    <x v="0"/>
    <s v="Boston"/>
    <s v="Cookies"/>
    <x v="5"/>
    <x v="16"/>
    <n v="2.84"/>
    <n v="349.32"/>
  </r>
  <r>
    <d v="2020-04-10T00:00:00"/>
    <x v="1"/>
    <s v="Los Angeles"/>
    <s v="Bars"/>
    <x v="0"/>
    <x v="68"/>
    <n v="1.77"/>
    <n v="159.30000000000001"/>
  </r>
  <r>
    <d v="2020-04-13T00:00:00"/>
    <x v="1"/>
    <s v="Los Angeles"/>
    <s v="Crackers"/>
    <x v="1"/>
    <x v="37"/>
    <n v="3.49"/>
    <n v="73.290000000000006"/>
  </r>
  <r>
    <d v="2020-04-16T00:00:00"/>
    <x v="0"/>
    <s v="New York"/>
    <s v="Bars"/>
    <x v="0"/>
    <x v="28"/>
    <n v="1.7699999999999998"/>
    <n v="84.96"/>
  </r>
  <r>
    <d v="2020-04-19T00:00:00"/>
    <x v="0"/>
    <s v="New York"/>
    <s v="Snacks"/>
    <x v="4"/>
    <x v="51"/>
    <n v="1.68"/>
    <n v="40.32"/>
  </r>
  <r>
    <d v="2020-04-22T00:00:00"/>
    <x v="1"/>
    <s v="San Diego"/>
    <s v="Cookies"/>
    <x v="2"/>
    <x v="84"/>
    <n v="1.87"/>
    <n v="125.29"/>
  </r>
  <r>
    <d v="2020-04-25T00:00:00"/>
    <x v="0"/>
    <s v="Boston"/>
    <s v="Bars"/>
    <x v="6"/>
    <x v="14"/>
    <n v="1.87"/>
    <n v="50.49"/>
  </r>
  <r>
    <d v="2020-04-28T00:00:00"/>
    <x v="0"/>
    <s v="Boston"/>
    <s v="Cookies"/>
    <x v="5"/>
    <x v="85"/>
    <n v="2.8400000000000003"/>
    <n v="366.36"/>
  </r>
  <r>
    <d v="2020-05-01T00:00:00"/>
    <x v="1"/>
    <s v="Los Angeles"/>
    <s v="Cookies"/>
    <x v="3"/>
    <x v="61"/>
    <n v="2.1800000000000002"/>
    <n v="167.86"/>
  </r>
  <r>
    <d v="2020-05-04T00:00:00"/>
    <x v="1"/>
    <s v="Los Angeles"/>
    <s v="Cookies"/>
    <x v="2"/>
    <x v="2"/>
    <n v="1.8699999999999999"/>
    <n v="108.46"/>
  </r>
  <r>
    <d v="2020-05-07T00:00:00"/>
    <x v="0"/>
    <s v="New York"/>
    <s v="Bars"/>
    <x v="6"/>
    <x v="81"/>
    <n v="1.87"/>
    <n v="87.89"/>
  </r>
  <r>
    <d v="2020-05-10T00:00:00"/>
    <x v="0"/>
    <s v="New York"/>
    <s v="Cookies"/>
    <x v="5"/>
    <x v="0"/>
    <n v="2.84"/>
    <n v="93.72"/>
  </r>
  <r>
    <d v="2020-05-13T00:00:00"/>
    <x v="1"/>
    <s v="San Diego"/>
    <s v="Cookies"/>
    <x v="2"/>
    <x v="3"/>
    <n v="1.87"/>
    <n v="153.34"/>
  </r>
  <r>
    <d v="2020-05-16T00:00:00"/>
    <x v="0"/>
    <s v="Boston"/>
    <s v="Bars"/>
    <x v="0"/>
    <x v="2"/>
    <n v="1.77"/>
    <n v="102.66"/>
  </r>
  <r>
    <d v="2020-05-19T00:00:00"/>
    <x v="0"/>
    <s v="Boston"/>
    <s v="Snacks"/>
    <x v="7"/>
    <x v="19"/>
    <n v="3.15"/>
    <n v="94.5"/>
  </r>
  <r>
    <d v="2020-05-22T00:00:00"/>
    <x v="1"/>
    <s v="Los Angeles"/>
    <s v="Cookies"/>
    <x v="2"/>
    <x v="15"/>
    <n v="1.8699999999999999"/>
    <n v="80.41"/>
  </r>
  <r>
    <d v="2020-05-25T00:00:00"/>
    <x v="0"/>
    <s v="New York"/>
    <s v="Bars"/>
    <x v="0"/>
    <x v="86"/>
    <n v="1.77"/>
    <n v="148.68"/>
  </r>
  <r>
    <d v="2020-05-28T00:00:00"/>
    <x v="1"/>
    <s v="San Diego"/>
    <s v="Cookies"/>
    <x v="3"/>
    <x v="10"/>
    <n v="2.1800000000000002"/>
    <n v="78.48"/>
  </r>
  <r>
    <d v="2020-05-31T00:00:00"/>
    <x v="1"/>
    <s v="San Diego"/>
    <s v="Cookies"/>
    <x v="5"/>
    <x v="12"/>
    <n v="2.84"/>
    <n v="124.96"/>
  </r>
  <r>
    <d v="2020-06-03T00:00:00"/>
    <x v="0"/>
    <s v="Boston"/>
    <s v="Bars"/>
    <x v="6"/>
    <x v="14"/>
    <n v="1.87"/>
    <n v="50.49"/>
  </r>
  <r>
    <d v="2020-06-06T00:00:00"/>
    <x v="0"/>
    <s v="Boston"/>
    <s v="Cookies"/>
    <x v="5"/>
    <x v="87"/>
    <n v="2.8400000000000003"/>
    <n v="340.8"/>
  </r>
  <r>
    <d v="2020-06-09T00:00:00"/>
    <x v="0"/>
    <s v="Boston"/>
    <s v="Crackers"/>
    <x v="1"/>
    <x v="88"/>
    <n v="3.4899999999999998"/>
    <n v="90.74"/>
  </r>
  <r>
    <d v="2020-06-12T00:00:00"/>
    <x v="1"/>
    <s v="Los Angeles"/>
    <s v="Bars"/>
    <x v="0"/>
    <x v="89"/>
    <n v="1.77"/>
    <n v="129.21"/>
  </r>
  <r>
    <d v="2020-06-15T00:00:00"/>
    <x v="0"/>
    <s v="New York"/>
    <s v="Bars"/>
    <x v="6"/>
    <x v="4"/>
    <n v="1.87"/>
    <n v="71.06"/>
  </r>
  <r>
    <d v="2020-06-18T00:00:00"/>
    <x v="0"/>
    <s v="New York"/>
    <s v="Cookies"/>
    <x v="5"/>
    <x v="21"/>
    <n v="2.84"/>
    <n v="113.6"/>
  </r>
  <r>
    <d v="2020-06-21T00:00:00"/>
    <x v="1"/>
    <s v="San Diego"/>
    <s v="Bars"/>
    <x v="0"/>
    <x v="74"/>
    <n v="1.7699999999999998"/>
    <n v="72.569999999999993"/>
  </r>
  <r>
    <d v="2020-06-24T00:00:00"/>
    <x v="0"/>
    <s v="Boston"/>
    <s v="Bars"/>
    <x v="8"/>
    <x v="14"/>
    <n v="2.27"/>
    <n v="61.29"/>
  </r>
  <r>
    <d v="2020-06-27T00:00:00"/>
    <x v="0"/>
    <s v="Boston"/>
    <s v="Cookies"/>
    <x v="2"/>
    <x v="4"/>
    <n v="1.87"/>
    <n v="71.06"/>
  </r>
  <r>
    <d v="2020-06-30T00:00:00"/>
    <x v="0"/>
    <s v="Boston"/>
    <s v="Crackers"/>
    <x v="1"/>
    <x v="78"/>
    <n v="3.4899999999999998"/>
    <n v="118.66"/>
  </r>
  <r>
    <d v="2020-07-03T00:00:00"/>
    <x v="1"/>
    <s v="Los Angeles"/>
    <s v="Bars"/>
    <x v="6"/>
    <x v="59"/>
    <n v="1.8699999999999999"/>
    <n v="121.55"/>
  </r>
  <r>
    <d v="2020-07-06T00:00:00"/>
    <x v="1"/>
    <s v="Los Angeles"/>
    <s v="Cookies"/>
    <x v="5"/>
    <x v="90"/>
    <n v="2.8400000000000003"/>
    <n v="170.4"/>
  </r>
  <r>
    <d v="2020-07-09T00:00:00"/>
    <x v="0"/>
    <s v="New York"/>
    <s v="Cookies"/>
    <x v="3"/>
    <x v="91"/>
    <n v="2.1799999999999997"/>
    <n v="80.66"/>
  </r>
  <r>
    <d v="2020-07-12T00:00:00"/>
    <x v="0"/>
    <s v="New York"/>
    <s v="Cookies"/>
    <x v="2"/>
    <x v="21"/>
    <n v="1.8699999999999999"/>
    <n v="74.8"/>
  </r>
  <r>
    <d v="2020-07-15T00:00:00"/>
    <x v="1"/>
    <s v="San Diego"/>
    <s v="Bars"/>
    <x v="6"/>
    <x v="88"/>
    <n v="1.8699999999999999"/>
    <n v="48.62"/>
  </r>
  <r>
    <d v="2020-07-18T00:00:00"/>
    <x v="0"/>
    <s v="Boston"/>
    <s v="Bars"/>
    <x v="8"/>
    <x v="92"/>
    <n v="2.27"/>
    <n v="49.94"/>
  </r>
  <r>
    <d v="2020-07-21T00:00:00"/>
    <x v="0"/>
    <s v="Boston"/>
    <s v="Cookies"/>
    <x v="2"/>
    <x v="65"/>
    <n v="1.87"/>
    <n v="59.84"/>
  </r>
  <r>
    <d v="2020-07-24T00:00:00"/>
    <x v="0"/>
    <s v="Boston"/>
    <s v="Crackers"/>
    <x v="1"/>
    <x v="13"/>
    <n v="3.4899999999999998"/>
    <n v="80.27"/>
  </r>
  <r>
    <d v="2020-07-27T00:00:00"/>
    <x v="1"/>
    <s v="Los Angeles"/>
    <s v="Cookies"/>
    <x v="3"/>
    <x v="30"/>
    <n v="2.1800000000000002"/>
    <n v="43.6"/>
  </r>
  <r>
    <d v="2020-07-30T00:00:00"/>
    <x v="1"/>
    <s v="Los Angeles"/>
    <s v="Cookies"/>
    <x v="2"/>
    <x v="32"/>
    <n v="1.87"/>
    <n v="119.68"/>
  </r>
  <r>
    <d v="2020-08-02T00:00:00"/>
    <x v="0"/>
    <s v="New York"/>
    <s v="Bars"/>
    <x v="0"/>
    <x v="93"/>
    <n v="1.77"/>
    <n v="125.67"/>
  </r>
  <r>
    <d v="2020-08-05T00:00:00"/>
    <x v="1"/>
    <s v="San Diego"/>
    <s v="Cookies"/>
    <x v="3"/>
    <x v="68"/>
    <n v="2.1799999999999997"/>
    <n v="196.2"/>
  </r>
  <r>
    <d v="2020-08-08T00:00:00"/>
    <x v="1"/>
    <s v="San Diego"/>
    <s v="Cookies"/>
    <x v="5"/>
    <x v="4"/>
    <n v="2.84"/>
    <n v="107.91999999999999"/>
  </r>
  <r>
    <d v="2020-08-11T00:00:00"/>
    <x v="0"/>
    <s v="Boston"/>
    <s v="Bars"/>
    <x v="0"/>
    <x v="39"/>
    <n v="1.7699999999999998"/>
    <n v="97.35"/>
  </r>
  <r>
    <d v="2020-08-14T00:00:00"/>
    <x v="0"/>
    <s v="Boston"/>
    <s v="Snacks"/>
    <x v="7"/>
    <x v="92"/>
    <n v="3.15"/>
    <n v="69.3"/>
  </r>
  <r>
    <d v="2020-08-17T00:00:00"/>
    <x v="1"/>
    <s v="Los Angeles"/>
    <s v="Bars"/>
    <x v="0"/>
    <x v="78"/>
    <n v="1.77"/>
    <n v="60.18"/>
  </r>
  <r>
    <d v="2020-08-20T00:00:00"/>
    <x v="0"/>
    <s v="New York"/>
    <s v="Bars"/>
    <x v="6"/>
    <x v="24"/>
    <n v="1.87"/>
    <n v="72.930000000000007"/>
  </r>
  <r>
    <d v="2020-08-23T00:00:00"/>
    <x v="0"/>
    <s v="New York"/>
    <s v="Cookies"/>
    <x v="5"/>
    <x v="74"/>
    <n v="2.84"/>
    <n v="116.44"/>
  </r>
  <r>
    <d v="2020-08-26T00:00:00"/>
    <x v="1"/>
    <s v="San Diego"/>
    <s v="Bars"/>
    <x v="0"/>
    <x v="74"/>
    <n v="1.7699999999999998"/>
    <n v="72.569999999999993"/>
  </r>
  <r>
    <d v="2020-08-29T00:00:00"/>
    <x v="0"/>
    <s v="Boston"/>
    <s v="Cookies"/>
    <x v="3"/>
    <x v="46"/>
    <n v="2.1800000000000002"/>
    <n v="296.48"/>
  </r>
  <r>
    <d v="2020-09-01T00:00:00"/>
    <x v="0"/>
    <s v="Boston"/>
    <s v="Bars"/>
    <x v="0"/>
    <x v="36"/>
    <n v="1.77"/>
    <n v="44.25"/>
  </r>
  <r>
    <d v="2020-09-04T00:00:00"/>
    <x v="0"/>
    <s v="Boston"/>
    <s v="Snacks"/>
    <x v="7"/>
    <x v="88"/>
    <n v="3.1500000000000004"/>
    <n v="81.900000000000006"/>
  </r>
  <r>
    <d v="2020-09-07T00:00:00"/>
    <x v="1"/>
    <s v="Los Angeles"/>
    <s v="Bars"/>
    <x v="6"/>
    <x v="94"/>
    <n v="1.87"/>
    <n v="93.5"/>
  </r>
  <r>
    <d v="2020-09-10T00:00:00"/>
    <x v="1"/>
    <s v="Los Angeles"/>
    <s v="Cookies"/>
    <x v="5"/>
    <x v="95"/>
    <n v="2.8400000000000003"/>
    <n v="224.36"/>
  </r>
  <r>
    <d v="2020-09-13T00:00:00"/>
    <x v="0"/>
    <s v="New York"/>
    <s v="Bars"/>
    <x v="0"/>
    <x v="19"/>
    <n v="1.77"/>
    <n v="53.1"/>
  </r>
  <r>
    <d v="2020-09-16T00:00:00"/>
    <x v="0"/>
    <s v="New York"/>
    <s v="Snacks"/>
    <x v="4"/>
    <x v="30"/>
    <n v="1.6800000000000002"/>
    <n v="33.6"/>
  </r>
  <r>
    <d v="2020-09-19T00:00:00"/>
    <x v="1"/>
    <s v="San Diego"/>
    <s v="Bars"/>
    <x v="0"/>
    <x v="38"/>
    <n v="1.77"/>
    <n v="86.73"/>
  </r>
  <r>
    <d v="2020-09-22T00:00:00"/>
    <x v="0"/>
    <s v="Boston"/>
    <s v="Cookies"/>
    <x v="3"/>
    <x v="21"/>
    <n v="2.1800000000000002"/>
    <n v="87.2"/>
  </r>
  <r>
    <d v="2020-09-25T00:00:00"/>
    <x v="0"/>
    <s v="Boston"/>
    <s v="Bars"/>
    <x v="0"/>
    <x v="11"/>
    <n v="1.77"/>
    <n v="54.87"/>
  </r>
  <r>
    <d v="2020-09-28T00:00:00"/>
    <x v="0"/>
    <s v="Boston"/>
    <s v="Snacks"/>
    <x v="7"/>
    <x v="37"/>
    <n v="3.1500000000000004"/>
    <n v="66.150000000000006"/>
  </r>
  <r>
    <d v="2020-10-01T00:00:00"/>
    <x v="1"/>
    <s v="Los Angeles"/>
    <s v="Bars"/>
    <x v="6"/>
    <x v="15"/>
    <n v="1.8699999999999999"/>
    <n v="80.41"/>
  </r>
  <r>
    <d v="2020-10-04T00:00:00"/>
    <x v="1"/>
    <s v="Los Angeles"/>
    <s v="Cookies"/>
    <x v="5"/>
    <x v="81"/>
    <n v="2.84"/>
    <n v="133.47999999999999"/>
  </r>
  <r>
    <d v="2020-10-07T00:00:00"/>
    <x v="0"/>
    <s v="New York"/>
    <s v="Cookies"/>
    <x v="3"/>
    <x v="96"/>
    <n v="2.1800000000000002"/>
    <n v="381.5"/>
  </r>
  <r>
    <d v="2020-10-10T00:00:00"/>
    <x v="0"/>
    <s v="New York"/>
    <s v="Cookies"/>
    <x v="2"/>
    <x v="13"/>
    <n v="1.8699999999999999"/>
    <n v="43.01"/>
  </r>
  <r>
    <d v="2020-10-13T00:00:00"/>
    <x v="1"/>
    <s v="San Diego"/>
    <s v="Bars"/>
    <x v="0"/>
    <x v="21"/>
    <n v="1.77"/>
    <n v="70.8"/>
  </r>
  <r>
    <d v="2020-10-16T00:00:00"/>
    <x v="0"/>
    <s v="Boston"/>
    <s v="Cookies"/>
    <x v="3"/>
    <x v="1"/>
    <n v="2.1800000000000002"/>
    <n v="189.66000000000003"/>
  </r>
  <r>
    <d v="2020-10-19T00:00:00"/>
    <x v="0"/>
    <s v="Boston"/>
    <s v="Bars"/>
    <x v="0"/>
    <x v="15"/>
    <n v="1.77"/>
    <n v="76.11"/>
  </r>
  <r>
    <d v="2020-10-22T00:00:00"/>
    <x v="0"/>
    <s v="Boston"/>
    <s v="Crackers"/>
    <x v="1"/>
    <x v="19"/>
    <n v="3.49"/>
    <n v="104.7"/>
  </r>
  <r>
    <d v="2020-10-25T00:00:00"/>
    <x v="1"/>
    <s v="Los Angeles"/>
    <s v="Bars"/>
    <x v="0"/>
    <x v="97"/>
    <n v="1.77"/>
    <n v="61.95"/>
  </r>
  <r>
    <d v="2020-10-28T00:00:00"/>
    <x v="0"/>
    <s v="New York"/>
    <s v="Bars"/>
    <x v="6"/>
    <x v="82"/>
    <n v="1.87"/>
    <n v="106.59"/>
  </r>
  <r>
    <d v="2020-10-31T00:00:00"/>
    <x v="0"/>
    <s v="New York"/>
    <s v="Snacks"/>
    <x v="4"/>
    <x v="36"/>
    <n v="1.68"/>
    <n v="42"/>
  </r>
  <r>
    <d v="2020-11-03T00:00:00"/>
    <x v="1"/>
    <s v="San Diego"/>
    <s v="Cookies"/>
    <x v="2"/>
    <x v="51"/>
    <n v="1.87"/>
    <n v="44.88"/>
  </r>
  <r>
    <d v="2020-11-06T00:00:00"/>
    <x v="0"/>
    <s v="Boston"/>
    <s v="Bars"/>
    <x v="6"/>
    <x v="76"/>
    <n v="1.87"/>
    <n v="155.21"/>
  </r>
  <r>
    <d v="2020-11-09T00:00:00"/>
    <x v="0"/>
    <s v="Boston"/>
    <s v="Cookies"/>
    <x v="5"/>
    <x v="98"/>
    <n v="2.8400000000000003"/>
    <n v="352.16"/>
  </r>
  <r>
    <d v="2020-11-12T00:00:00"/>
    <x v="1"/>
    <s v="Los Angeles"/>
    <s v="Bars"/>
    <x v="0"/>
    <x v="49"/>
    <n v="1.77"/>
    <n v="242.49"/>
  </r>
  <r>
    <d v="2020-11-15T00:00:00"/>
    <x v="0"/>
    <s v="New York"/>
    <s v="Cookies"/>
    <x v="3"/>
    <x v="99"/>
    <n v="2.1799999999999997"/>
    <n v="318.27999999999997"/>
  </r>
  <r>
    <d v="2020-11-18T00:00:00"/>
    <x v="0"/>
    <s v="New York"/>
    <s v="Cookies"/>
    <x v="2"/>
    <x v="78"/>
    <n v="1.8699999999999999"/>
    <n v="63.58"/>
  </r>
  <r>
    <d v="2020-11-21T00:00:00"/>
    <x v="1"/>
    <s v="San Diego"/>
    <s v="Bars"/>
    <x v="0"/>
    <x v="30"/>
    <n v="1.77"/>
    <n v="35.4"/>
  </r>
  <r>
    <d v="2020-11-24T00:00:00"/>
    <x v="0"/>
    <s v="Boston"/>
    <s v="Cookies"/>
    <x v="3"/>
    <x v="73"/>
    <n v="2.1799999999999997"/>
    <n v="303.02"/>
  </r>
  <r>
    <d v="2020-11-27T00:00:00"/>
    <x v="0"/>
    <s v="Boston"/>
    <s v="Cookies"/>
    <x v="2"/>
    <x v="100"/>
    <n v="1.8699999999999999"/>
    <n v="394.57"/>
  </r>
  <r>
    <d v="2020-11-30T00:00:00"/>
    <x v="0"/>
    <s v="Boston"/>
    <s v="Crackers"/>
    <x v="1"/>
    <x v="30"/>
    <n v="3.4899999999999998"/>
    <n v="69.8"/>
  </r>
  <r>
    <d v="2020-12-03T00:00:00"/>
    <x v="1"/>
    <s v="Los Angeles"/>
    <s v="Bars"/>
    <x v="6"/>
    <x v="17"/>
    <n v="1.87"/>
    <n v="78.540000000000006"/>
  </r>
  <r>
    <d v="2020-12-06T00:00:00"/>
    <x v="1"/>
    <s v="Los Angeles"/>
    <s v="Cookies"/>
    <x v="5"/>
    <x v="8"/>
    <n v="2.84"/>
    <n v="284"/>
  </r>
  <r>
    <d v="2020-12-09T00:00:00"/>
    <x v="0"/>
    <s v="New York"/>
    <s v="Bars"/>
    <x v="0"/>
    <x v="4"/>
    <n v="1.7700000000000002"/>
    <n v="67.260000000000005"/>
  </r>
  <r>
    <d v="2020-12-12T00:00:00"/>
    <x v="0"/>
    <s v="New York"/>
    <s v="Crackers"/>
    <x v="1"/>
    <x v="36"/>
    <n v="3.49"/>
    <n v="87.25"/>
  </r>
  <r>
    <d v="2020-12-15T00:00:00"/>
    <x v="1"/>
    <s v="San Diego"/>
    <s v="Cookies"/>
    <x v="2"/>
    <x v="101"/>
    <n v="1.87"/>
    <n v="179.52"/>
  </r>
  <r>
    <d v="2020-12-18T00:00:00"/>
    <x v="0"/>
    <s v="Boston"/>
    <s v="Cookies"/>
    <x v="3"/>
    <x v="78"/>
    <n v="2.1800000000000002"/>
    <n v="74.12"/>
  </r>
  <r>
    <d v="2020-12-21T00:00:00"/>
    <x v="0"/>
    <s v="Boston"/>
    <s v="Cookies"/>
    <x v="2"/>
    <x v="102"/>
    <n v="1.8699999999999999"/>
    <n v="458.15"/>
  </r>
  <r>
    <d v="2020-12-24T00:00:00"/>
    <x v="0"/>
    <s v="Boston"/>
    <s v="Crackers"/>
    <x v="1"/>
    <x v="19"/>
    <n v="3.49"/>
    <n v="104.7"/>
  </r>
  <r>
    <d v="2020-12-27T00:00:00"/>
    <x v="1"/>
    <s v="Los Angeles"/>
    <s v="Bars"/>
    <x v="6"/>
    <x v="19"/>
    <n v="1.87"/>
    <n v="56.1"/>
  </r>
  <r>
    <d v="2020-12-30T00:00:00"/>
    <x v="1"/>
    <s v="Los Angeles"/>
    <s v="Cookies"/>
    <x v="5"/>
    <x v="12"/>
    <n v="2.84"/>
    <n v="124.9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44">
  <r>
    <d v="2019-01-01T00:00:00"/>
    <x v="0"/>
    <s v="Boston"/>
    <s v="Bars"/>
    <x v="0"/>
    <x v="0"/>
    <n v="1.7699999999999998"/>
    <n v="58.41"/>
  </r>
  <r>
    <d v="2019-01-04T00:00:00"/>
    <x v="0"/>
    <s v="Boston"/>
    <s v="Crackers"/>
    <x v="1"/>
    <x v="1"/>
    <n v="3.4899999999999998"/>
    <n v="303.63"/>
  </r>
  <r>
    <d v="2019-01-07T00:00:00"/>
    <x v="1"/>
    <s v="Los Angeles"/>
    <s v="Cookies"/>
    <x v="2"/>
    <x v="2"/>
    <n v="1.8699999999999999"/>
    <n v="108.46"/>
  </r>
  <r>
    <d v="2019-01-10T00:00:00"/>
    <x v="0"/>
    <s v="New York"/>
    <s v="Cookies"/>
    <x v="2"/>
    <x v="3"/>
    <n v="1.87"/>
    <n v="153.34"/>
  </r>
  <r>
    <d v="2019-01-13T00:00:00"/>
    <x v="0"/>
    <s v="Boston"/>
    <s v="Cookies"/>
    <x v="3"/>
    <x v="4"/>
    <n v="2.1800000000000002"/>
    <n v="82.84"/>
  </r>
  <r>
    <d v="2019-01-16T00:00:00"/>
    <x v="0"/>
    <s v="Boston"/>
    <s v="Bars"/>
    <x v="0"/>
    <x v="5"/>
    <n v="1.77"/>
    <n v="95.58"/>
  </r>
  <r>
    <d v="2019-01-19T00:00:00"/>
    <x v="0"/>
    <s v="Boston"/>
    <s v="Crackers"/>
    <x v="1"/>
    <x v="6"/>
    <n v="3.4899999999999998"/>
    <n v="520.01"/>
  </r>
  <r>
    <d v="2019-01-22T00:00:00"/>
    <x v="1"/>
    <s v="Los Angeles"/>
    <s v="Bars"/>
    <x v="0"/>
    <x v="7"/>
    <n v="1.77"/>
    <n v="90.27"/>
  </r>
  <r>
    <d v="2019-01-25T00:00:00"/>
    <x v="0"/>
    <s v="New York"/>
    <s v="Bars"/>
    <x v="0"/>
    <x v="8"/>
    <n v="1.77"/>
    <n v="177"/>
  </r>
  <r>
    <d v="2019-01-28T00:00:00"/>
    <x v="0"/>
    <s v="New York"/>
    <s v="Snacks"/>
    <x v="4"/>
    <x v="9"/>
    <n v="1.35"/>
    <n v="37.800000000000004"/>
  </r>
  <r>
    <d v="2019-01-31T00:00:00"/>
    <x v="0"/>
    <s v="Boston"/>
    <s v="Cookies"/>
    <x v="3"/>
    <x v="10"/>
    <n v="2.1800000000000002"/>
    <n v="78.48"/>
  </r>
  <r>
    <d v="2019-02-03T00:00:00"/>
    <x v="0"/>
    <s v="Boston"/>
    <s v="Cookies"/>
    <x v="2"/>
    <x v="11"/>
    <n v="1.8699999999999999"/>
    <n v="57.97"/>
  </r>
  <r>
    <d v="2019-02-06T00:00:00"/>
    <x v="0"/>
    <s v="Boston"/>
    <s v="Crackers"/>
    <x v="1"/>
    <x v="9"/>
    <n v="3.4899999999999998"/>
    <n v="97.72"/>
  </r>
  <r>
    <d v="2019-02-09T00:00:00"/>
    <x v="1"/>
    <s v="Los Angeles"/>
    <s v="Bars"/>
    <x v="0"/>
    <x v="12"/>
    <n v="1.7699999999999998"/>
    <n v="77.88"/>
  </r>
  <r>
    <d v="2019-02-12T00:00:00"/>
    <x v="0"/>
    <s v="New York"/>
    <s v="Bars"/>
    <x v="0"/>
    <x v="13"/>
    <n v="1.77"/>
    <n v="40.71"/>
  </r>
  <r>
    <d v="2019-02-15T00:00:00"/>
    <x v="0"/>
    <s v="New York"/>
    <s v="Snacks"/>
    <x v="4"/>
    <x v="14"/>
    <n v="1.35"/>
    <n v="36.450000000000003"/>
  </r>
  <r>
    <d v="2019-02-18T00:00:00"/>
    <x v="0"/>
    <s v="Boston"/>
    <s v="Cookies"/>
    <x v="3"/>
    <x v="15"/>
    <n v="2.1799999999999997"/>
    <n v="93.739999999999981"/>
  </r>
  <r>
    <d v="2019-02-21T00:00:00"/>
    <x v="0"/>
    <s v="Boston"/>
    <s v="Cookies"/>
    <x v="5"/>
    <x v="16"/>
    <n v="2.84"/>
    <n v="349.32"/>
  </r>
  <r>
    <d v="2019-02-24T00:00:00"/>
    <x v="1"/>
    <s v="Los Angeles"/>
    <s v="Bars"/>
    <x v="6"/>
    <x v="17"/>
    <n v="1.87"/>
    <n v="78.540000000000006"/>
  </r>
  <r>
    <d v="2019-02-27T00:00:00"/>
    <x v="1"/>
    <s v="Los Angeles"/>
    <s v="Cookies"/>
    <x v="5"/>
    <x v="0"/>
    <n v="2.84"/>
    <n v="93.72"/>
  </r>
  <r>
    <d v="2019-03-02T00:00:00"/>
    <x v="0"/>
    <s v="New York"/>
    <s v="Cookies"/>
    <x v="2"/>
    <x v="18"/>
    <n v="1.8699999999999999"/>
    <n v="158.94999999999999"/>
  </r>
  <r>
    <d v="2019-03-05T00:00:00"/>
    <x v="1"/>
    <s v="San Diego"/>
    <s v="Cookies"/>
    <x v="5"/>
    <x v="19"/>
    <n v="2.8400000000000003"/>
    <n v="85.2"/>
  </r>
  <r>
    <d v="2019-03-08T00:00:00"/>
    <x v="0"/>
    <s v="Boston"/>
    <s v="Bars"/>
    <x v="0"/>
    <x v="20"/>
    <n v="1.77"/>
    <n v="107.97"/>
  </r>
  <r>
    <d v="2019-03-11T00:00:00"/>
    <x v="0"/>
    <s v="Boston"/>
    <s v="Crackers"/>
    <x v="1"/>
    <x v="21"/>
    <n v="3.4899999999999998"/>
    <n v="139.6"/>
  </r>
  <r>
    <d v="2019-03-14T00:00:00"/>
    <x v="1"/>
    <s v="Los Angeles"/>
    <s v="Cookies"/>
    <x v="2"/>
    <x v="22"/>
    <n v="1.8699999999999999"/>
    <n v="160.82"/>
  </r>
  <r>
    <d v="2019-03-17T00:00:00"/>
    <x v="0"/>
    <s v="New York"/>
    <s v="Bars"/>
    <x v="0"/>
    <x v="4"/>
    <n v="1.7700000000000002"/>
    <n v="67.260000000000005"/>
  </r>
  <r>
    <d v="2019-03-20T00:00:00"/>
    <x v="0"/>
    <s v="New York"/>
    <s v="Snacks"/>
    <x v="4"/>
    <x v="23"/>
    <n v="1.68"/>
    <n v="114.24"/>
  </r>
  <r>
    <d v="2019-03-23T00:00:00"/>
    <x v="1"/>
    <s v="San Diego"/>
    <s v="Cookies"/>
    <x v="2"/>
    <x v="24"/>
    <n v="1.87"/>
    <n v="72.930000000000007"/>
  </r>
  <r>
    <d v="2019-03-26T00:00:00"/>
    <x v="0"/>
    <s v="Boston"/>
    <s v="Bars"/>
    <x v="6"/>
    <x v="25"/>
    <n v="1.87"/>
    <n v="192.61"/>
  </r>
  <r>
    <d v="2019-03-29T00:00:00"/>
    <x v="0"/>
    <s v="Boston"/>
    <s v="Cookies"/>
    <x v="5"/>
    <x v="26"/>
    <n v="2.84"/>
    <n v="548.12"/>
  </r>
  <r>
    <d v="2019-04-01T00:00:00"/>
    <x v="1"/>
    <s v="Los Angeles"/>
    <s v="Bars"/>
    <x v="0"/>
    <x v="2"/>
    <n v="1.77"/>
    <n v="102.66"/>
  </r>
  <r>
    <d v="2019-04-04T00:00:00"/>
    <x v="1"/>
    <s v="Los Angeles"/>
    <s v="Snacks"/>
    <x v="4"/>
    <x v="23"/>
    <n v="1.68"/>
    <n v="114.24"/>
  </r>
  <r>
    <d v="2019-04-07T00:00:00"/>
    <x v="0"/>
    <s v="New York"/>
    <s v="Bars"/>
    <x v="0"/>
    <x v="27"/>
    <n v="1.77"/>
    <n v="161.07"/>
  </r>
  <r>
    <d v="2019-04-10T00:00:00"/>
    <x v="0"/>
    <s v="New York"/>
    <s v="Crackers"/>
    <x v="1"/>
    <x v="13"/>
    <n v="3.4899999999999998"/>
    <n v="80.27"/>
  </r>
  <r>
    <d v="2019-04-13T00:00:00"/>
    <x v="1"/>
    <s v="San Diego"/>
    <s v="Snacks"/>
    <x v="4"/>
    <x v="9"/>
    <n v="1.68"/>
    <n v="47.04"/>
  </r>
  <r>
    <d v="2019-04-16T00:00:00"/>
    <x v="0"/>
    <s v="Boston"/>
    <s v="Bars"/>
    <x v="0"/>
    <x v="28"/>
    <n v="1.7699999999999998"/>
    <n v="84.96"/>
  </r>
  <r>
    <d v="2019-04-19T00:00:00"/>
    <x v="0"/>
    <s v="Boston"/>
    <s v="Snacks"/>
    <x v="4"/>
    <x v="29"/>
    <n v="1.68"/>
    <n v="225.12"/>
  </r>
  <r>
    <d v="2019-04-22T00:00:00"/>
    <x v="1"/>
    <s v="Los Angeles"/>
    <s v="Bars"/>
    <x v="0"/>
    <x v="30"/>
    <n v="1.77"/>
    <n v="35.4"/>
  </r>
  <r>
    <d v="2019-04-25T00:00:00"/>
    <x v="0"/>
    <s v="New York"/>
    <s v="Bars"/>
    <x v="0"/>
    <x v="31"/>
    <n v="1.77"/>
    <n v="93.81"/>
  </r>
  <r>
    <d v="2019-04-28T00:00:00"/>
    <x v="0"/>
    <s v="New York"/>
    <s v="Snacks"/>
    <x v="4"/>
    <x v="32"/>
    <n v="1.68"/>
    <n v="107.52"/>
  </r>
  <r>
    <d v="2019-05-01T00:00:00"/>
    <x v="1"/>
    <s v="San Diego"/>
    <s v="Cookies"/>
    <x v="2"/>
    <x v="33"/>
    <n v="1.87"/>
    <n v="117.81"/>
  </r>
  <r>
    <d v="2019-05-04T00:00:00"/>
    <x v="0"/>
    <s v="Boston"/>
    <s v="Bars"/>
    <x v="6"/>
    <x v="34"/>
    <n v="1.8699999999999999"/>
    <n v="196.35"/>
  </r>
  <r>
    <d v="2019-05-07T00:00:00"/>
    <x v="0"/>
    <s v="Boston"/>
    <s v="Cookies"/>
    <x v="5"/>
    <x v="35"/>
    <n v="2.8400000000000003"/>
    <n v="391.92"/>
  </r>
  <r>
    <d v="2019-05-10T00:00:00"/>
    <x v="1"/>
    <s v="Los Angeles"/>
    <s v="Bars"/>
    <x v="0"/>
    <x v="36"/>
    <n v="1.77"/>
    <n v="44.25"/>
  </r>
  <r>
    <d v="2019-05-13T00:00:00"/>
    <x v="1"/>
    <s v="Los Angeles"/>
    <s v="Crackers"/>
    <x v="1"/>
    <x v="37"/>
    <n v="3.49"/>
    <n v="73.290000000000006"/>
  </r>
  <r>
    <d v="2019-05-16T00:00:00"/>
    <x v="0"/>
    <s v="New York"/>
    <s v="Bars"/>
    <x v="0"/>
    <x v="20"/>
    <n v="1.77"/>
    <n v="107.97"/>
  </r>
  <r>
    <d v="2019-05-19T00:00:00"/>
    <x v="0"/>
    <s v="New York"/>
    <s v="Snacks"/>
    <x v="4"/>
    <x v="38"/>
    <n v="1.68"/>
    <n v="82.32"/>
  </r>
  <r>
    <d v="2019-05-22T00:00:00"/>
    <x v="1"/>
    <s v="San Diego"/>
    <s v="Cookies"/>
    <x v="2"/>
    <x v="39"/>
    <n v="1.8699999999999999"/>
    <n v="102.85"/>
  </r>
  <r>
    <d v="2019-05-25T00:00:00"/>
    <x v="0"/>
    <s v="Boston"/>
    <s v="Cookies"/>
    <x v="3"/>
    <x v="14"/>
    <n v="2.1800000000000002"/>
    <n v="58.860000000000007"/>
  </r>
  <r>
    <d v="2019-05-28T00:00:00"/>
    <x v="0"/>
    <s v="Boston"/>
    <s v="Bars"/>
    <x v="0"/>
    <x v="2"/>
    <n v="1.77"/>
    <n v="102.66"/>
  </r>
  <r>
    <d v="2019-05-31T00:00:00"/>
    <x v="0"/>
    <s v="Boston"/>
    <s v="Crackers"/>
    <x v="1"/>
    <x v="0"/>
    <n v="3.49"/>
    <n v="115.17"/>
  </r>
  <r>
    <d v="2019-06-03T00:00:00"/>
    <x v="1"/>
    <s v="Los Angeles"/>
    <s v="Cookies"/>
    <x v="5"/>
    <x v="40"/>
    <n v="2.84"/>
    <n v="817.92"/>
  </r>
  <r>
    <d v="2019-06-06T00:00:00"/>
    <x v="0"/>
    <s v="New York"/>
    <s v="Cookies"/>
    <x v="2"/>
    <x v="41"/>
    <n v="1.87"/>
    <n v="142.12"/>
  </r>
  <r>
    <d v="2019-06-09T00:00:00"/>
    <x v="1"/>
    <s v="San Diego"/>
    <s v="Bars"/>
    <x v="0"/>
    <x v="17"/>
    <n v="1.77"/>
    <n v="74.34"/>
  </r>
  <r>
    <d v="2019-06-12T00:00:00"/>
    <x v="1"/>
    <s v="San Diego"/>
    <s v="Crackers"/>
    <x v="1"/>
    <x v="30"/>
    <n v="3.4899999999999998"/>
    <n v="69.8"/>
  </r>
  <r>
    <d v="2019-06-15T00:00:00"/>
    <x v="0"/>
    <s v="Boston"/>
    <s v="Bars"/>
    <x v="0"/>
    <x v="42"/>
    <n v="1.77"/>
    <n v="132.75"/>
  </r>
  <r>
    <d v="2019-06-18T00:00:00"/>
    <x v="0"/>
    <s v="Boston"/>
    <s v="Crackers"/>
    <x v="1"/>
    <x v="4"/>
    <n v="3.49"/>
    <n v="132.62"/>
  </r>
  <r>
    <d v="2019-06-21T00:00:00"/>
    <x v="1"/>
    <s v="Los Angeles"/>
    <s v="Bars"/>
    <x v="0"/>
    <x v="43"/>
    <n v="1.77"/>
    <n v="541.62"/>
  </r>
  <r>
    <d v="2019-06-24T00:00:00"/>
    <x v="1"/>
    <s v="Los Angeles"/>
    <s v="Snacks"/>
    <x v="4"/>
    <x v="9"/>
    <n v="1.68"/>
    <n v="47.04"/>
  </r>
  <r>
    <d v="2019-06-27T00:00:00"/>
    <x v="0"/>
    <s v="New York"/>
    <s v="Bars"/>
    <x v="6"/>
    <x v="44"/>
    <n v="1.8699999999999999"/>
    <n v="205.7"/>
  </r>
  <r>
    <d v="2019-06-30T00:00:00"/>
    <x v="0"/>
    <s v="New York"/>
    <s v="Cookies"/>
    <x v="5"/>
    <x v="7"/>
    <n v="2.84"/>
    <n v="144.84"/>
  </r>
  <r>
    <d v="2019-07-03T00:00:00"/>
    <x v="1"/>
    <s v="San Diego"/>
    <s v="Bars"/>
    <x v="0"/>
    <x v="45"/>
    <n v="1.77"/>
    <n v="92.04"/>
  </r>
  <r>
    <d v="2019-07-06T00:00:00"/>
    <x v="1"/>
    <s v="San Diego"/>
    <s v="Crackers"/>
    <x v="1"/>
    <x v="9"/>
    <n v="3.4899999999999998"/>
    <n v="97.72"/>
  </r>
  <r>
    <d v="2019-07-09T00:00:00"/>
    <x v="0"/>
    <s v="Boston"/>
    <s v="Bars"/>
    <x v="0"/>
    <x v="46"/>
    <n v="1.77"/>
    <n v="240.72"/>
  </r>
  <r>
    <d v="2019-07-12T00:00:00"/>
    <x v="0"/>
    <s v="Boston"/>
    <s v="Crackers"/>
    <x v="1"/>
    <x v="17"/>
    <n v="3.49"/>
    <n v="146.58000000000001"/>
  </r>
  <r>
    <d v="2019-07-15T00:00:00"/>
    <x v="1"/>
    <s v="Los Angeles"/>
    <s v="Cookies"/>
    <x v="2"/>
    <x v="42"/>
    <n v="1.87"/>
    <n v="140.25"/>
  </r>
  <r>
    <d v="2019-07-18T00:00:00"/>
    <x v="0"/>
    <s v="New York"/>
    <s v="Bars"/>
    <x v="6"/>
    <x v="47"/>
    <n v="1.8699999999999999"/>
    <n v="134.63999999999999"/>
  </r>
  <r>
    <d v="2019-07-21T00:00:00"/>
    <x v="0"/>
    <s v="New York"/>
    <s v="Cookies"/>
    <x v="5"/>
    <x v="48"/>
    <n v="2.84"/>
    <n v="159.04"/>
  </r>
  <r>
    <d v="2019-07-24T00:00:00"/>
    <x v="1"/>
    <s v="San Diego"/>
    <s v="Bars"/>
    <x v="6"/>
    <x v="7"/>
    <n v="1.87"/>
    <n v="95.37"/>
  </r>
  <r>
    <d v="2019-07-27T00:00:00"/>
    <x v="1"/>
    <s v="San Diego"/>
    <s v="Snacks"/>
    <x v="4"/>
    <x v="11"/>
    <n v="1.68"/>
    <n v="52.08"/>
  </r>
  <r>
    <d v="2019-07-30T00:00:00"/>
    <x v="0"/>
    <s v="Boston"/>
    <s v="Bars"/>
    <x v="6"/>
    <x v="48"/>
    <n v="1.8699999999999999"/>
    <n v="104.72"/>
  </r>
  <r>
    <d v="2019-08-02T00:00:00"/>
    <x v="0"/>
    <s v="Boston"/>
    <s v="Cookies"/>
    <x v="5"/>
    <x v="49"/>
    <n v="2.84"/>
    <n v="389.08"/>
  </r>
  <r>
    <d v="2019-08-05T00:00:00"/>
    <x v="1"/>
    <s v="Los Angeles"/>
    <s v="Cookies"/>
    <x v="2"/>
    <x v="50"/>
    <n v="1.87"/>
    <n v="200.09"/>
  </r>
  <r>
    <d v="2019-08-08T00:00:00"/>
    <x v="0"/>
    <s v="New York"/>
    <s v="Bars"/>
    <x v="0"/>
    <x v="51"/>
    <n v="1.7699999999999998"/>
    <n v="42.48"/>
  </r>
  <r>
    <d v="2019-08-11T00:00:00"/>
    <x v="0"/>
    <s v="New York"/>
    <s v="Crackers"/>
    <x v="1"/>
    <x v="19"/>
    <n v="3.49"/>
    <n v="104.7"/>
  </r>
  <r>
    <d v="2019-08-14T00:00:00"/>
    <x v="1"/>
    <s v="San Diego"/>
    <s v="Cookies"/>
    <x v="2"/>
    <x v="52"/>
    <n v="1.87"/>
    <n v="130.9"/>
  </r>
  <r>
    <d v="2019-08-17T00:00:00"/>
    <x v="0"/>
    <s v="Boston"/>
    <s v="Cookies"/>
    <x v="3"/>
    <x v="11"/>
    <n v="2.1800000000000002"/>
    <n v="67.58"/>
  </r>
  <r>
    <d v="2019-08-20T00:00:00"/>
    <x v="0"/>
    <s v="Boston"/>
    <s v="Bars"/>
    <x v="0"/>
    <x v="53"/>
    <n v="1.77"/>
    <n v="192.93"/>
  </r>
  <r>
    <d v="2019-08-23T00:00:00"/>
    <x v="0"/>
    <s v="Boston"/>
    <s v="Crackers"/>
    <x v="1"/>
    <x v="37"/>
    <n v="3.49"/>
    <n v="73.290000000000006"/>
  </r>
  <r>
    <d v="2019-08-26T00:00:00"/>
    <x v="1"/>
    <s v="Los Angeles"/>
    <s v="Cookies"/>
    <x v="2"/>
    <x v="54"/>
    <n v="1.8699999999999999"/>
    <n v="149.6"/>
  </r>
  <r>
    <d v="2019-08-29T00:00:00"/>
    <x v="0"/>
    <s v="New York"/>
    <s v="Bars"/>
    <x v="6"/>
    <x v="42"/>
    <n v="1.87"/>
    <n v="140.25"/>
  </r>
  <r>
    <d v="2019-09-01T00:00:00"/>
    <x v="0"/>
    <s v="New York"/>
    <s v="Cookies"/>
    <x v="5"/>
    <x v="55"/>
    <n v="2.84"/>
    <n v="210.16"/>
  </r>
  <r>
    <d v="2019-09-04T00:00:00"/>
    <x v="1"/>
    <s v="San Diego"/>
    <s v="Bars"/>
    <x v="0"/>
    <x v="56"/>
    <n v="1.77"/>
    <n v="79.650000000000006"/>
  </r>
  <r>
    <d v="2019-09-07T00:00:00"/>
    <x v="0"/>
    <s v="Boston"/>
    <s v="Cookies"/>
    <x v="3"/>
    <x v="9"/>
    <n v="2.1800000000000002"/>
    <n v="61.040000000000006"/>
  </r>
  <r>
    <d v="2019-09-10T00:00:00"/>
    <x v="0"/>
    <s v="Boston"/>
    <s v="Bars"/>
    <x v="0"/>
    <x v="57"/>
    <n v="1.77"/>
    <n v="253.11"/>
  </r>
  <r>
    <d v="2019-09-13T00:00:00"/>
    <x v="0"/>
    <s v="Boston"/>
    <s v="Snacks"/>
    <x v="7"/>
    <x v="14"/>
    <n v="3.15"/>
    <n v="85.05"/>
  </r>
  <r>
    <d v="2019-09-16T00:00:00"/>
    <x v="1"/>
    <s v="Los Angeles"/>
    <s v="Bars"/>
    <x v="0"/>
    <x v="58"/>
    <n v="1.77"/>
    <n v="235.41"/>
  </r>
  <r>
    <d v="2019-09-19T00:00:00"/>
    <x v="0"/>
    <s v="New York"/>
    <s v="Cookies"/>
    <x v="3"/>
    <x v="44"/>
    <n v="2.1800000000000002"/>
    <n v="239.8"/>
  </r>
  <r>
    <d v="2019-09-22T00:00:00"/>
    <x v="0"/>
    <s v="New York"/>
    <s v="Cookies"/>
    <x v="2"/>
    <x v="59"/>
    <n v="1.8699999999999999"/>
    <n v="121.55"/>
  </r>
  <r>
    <d v="2019-09-25T00:00:00"/>
    <x v="1"/>
    <s v="San Diego"/>
    <s v="Bars"/>
    <x v="6"/>
    <x v="0"/>
    <n v="1.87"/>
    <n v="61.71"/>
  </r>
  <r>
    <d v="2019-09-28T00:00:00"/>
    <x v="0"/>
    <s v="Boston"/>
    <s v="Cookies"/>
    <x v="3"/>
    <x v="60"/>
    <n v="2.1800000000000002"/>
    <n v="176.58"/>
  </r>
  <r>
    <d v="2019-10-01T00:00:00"/>
    <x v="0"/>
    <s v="Boston"/>
    <s v="Bars"/>
    <x v="0"/>
    <x v="61"/>
    <n v="1.7699999999999998"/>
    <n v="136.29"/>
  </r>
  <r>
    <d v="2019-10-04T00:00:00"/>
    <x v="0"/>
    <s v="Boston"/>
    <s v="Crackers"/>
    <x v="1"/>
    <x v="4"/>
    <n v="3.49"/>
    <n v="132.62"/>
  </r>
  <r>
    <d v="2019-10-07T00:00:00"/>
    <x v="1"/>
    <s v="Los Angeles"/>
    <s v="Bars"/>
    <x v="0"/>
    <x v="21"/>
    <n v="1.77"/>
    <n v="70.8"/>
  </r>
  <r>
    <d v="2019-10-10T00:00:00"/>
    <x v="1"/>
    <s v="Los Angeles"/>
    <s v="Snacks"/>
    <x v="4"/>
    <x v="62"/>
    <n v="1.6800000000000002"/>
    <n v="191.52"/>
  </r>
  <r>
    <d v="2019-10-13T00:00:00"/>
    <x v="0"/>
    <s v="New York"/>
    <s v="Cookies"/>
    <x v="3"/>
    <x v="63"/>
    <n v="2.1800000000000002"/>
    <n v="488.32000000000005"/>
  </r>
  <r>
    <d v="2019-10-16T00:00:00"/>
    <x v="0"/>
    <s v="New York"/>
    <s v="Bars"/>
    <x v="0"/>
    <x v="64"/>
    <n v="1.77"/>
    <n v="249.57"/>
  </r>
  <r>
    <d v="2019-10-19T00:00:00"/>
    <x v="0"/>
    <s v="New York"/>
    <s v="Crackers"/>
    <x v="1"/>
    <x v="65"/>
    <n v="3.49"/>
    <n v="111.68"/>
  </r>
  <r>
    <d v="2019-10-22T00:00:00"/>
    <x v="1"/>
    <s v="San Diego"/>
    <s v="Bars"/>
    <x v="0"/>
    <x v="30"/>
    <n v="1.77"/>
    <n v="35.4"/>
  </r>
  <r>
    <d v="2019-10-25T00:00:00"/>
    <x v="0"/>
    <s v="Boston"/>
    <s v="Cookies"/>
    <x v="3"/>
    <x v="21"/>
    <n v="2.1800000000000002"/>
    <n v="87.2"/>
  </r>
  <r>
    <d v="2019-10-28T00:00:00"/>
    <x v="0"/>
    <s v="Boston"/>
    <s v="Cookies"/>
    <x v="2"/>
    <x v="38"/>
    <n v="1.8699999999999999"/>
    <n v="91.63"/>
  </r>
  <r>
    <d v="2019-10-31T00:00:00"/>
    <x v="0"/>
    <s v="Boston"/>
    <s v="Crackers"/>
    <x v="1"/>
    <x v="66"/>
    <n v="3.4899999999999998"/>
    <n v="160.54"/>
  </r>
  <r>
    <d v="2019-11-03T00:00:00"/>
    <x v="1"/>
    <s v="Los Angeles"/>
    <s v="Bars"/>
    <x v="0"/>
    <x v="24"/>
    <n v="1.77"/>
    <n v="69.03"/>
  </r>
  <r>
    <d v="2019-11-06T00:00:00"/>
    <x v="1"/>
    <s v="Los Angeles"/>
    <s v="Snacks"/>
    <x v="4"/>
    <x v="67"/>
    <n v="1.68"/>
    <n v="104.16"/>
  </r>
  <r>
    <d v="2019-11-09T00:00:00"/>
    <x v="0"/>
    <s v="New York"/>
    <s v="Bars"/>
    <x v="0"/>
    <x v="68"/>
    <n v="1.77"/>
    <n v="159.30000000000001"/>
  </r>
  <r>
    <d v="2019-11-12T00:00:00"/>
    <x v="1"/>
    <s v="San Diego"/>
    <s v="Cookies"/>
    <x v="3"/>
    <x v="25"/>
    <n v="2.1799999999999997"/>
    <n v="224.53999999999996"/>
  </r>
  <r>
    <d v="2019-11-15T00:00:00"/>
    <x v="1"/>
    <s v="San Diego"/>
    <s v="Cookies"/>
    <x v="5"/>
    <x v="65"/>
    <n v="2.84"/>
    <n v="90.88"/>
  </r>
  <r>
    <d v="2019-11-18T00:00:00"/>
    <x v="0"/>
    <s v="Boston"/>
    <s v="Bars"/>
    <x v="6"/>
    <x v="69"/>
    <n v="1.87"/>
    <n v="123.42"/>
  </r>
  <r>
    <d v="2019-11-21T00:00:00"/>
    <x v="0"/>
    <s v="Boston"/>
    <s v="Cookies"/>
    <x v="5"/>
    <x v="70"/>
    <n v="2.8400000000000003"/>
    <n v="275.48"/>
  </r>
  <r>
    <d v="2019-11-24T00:00:00"/>
    <x v="1"/>
    <s v="Los Angeles"/>
    <s v="Bars"/>
    <x v="0"/>
    <x v="19"/>
    <n v="1.77"/>
    <n v="53.1"/>
  </r>
  <r>
    <d v="2019-11-27T00:00:00"/>
    <x v="1"/>
    <s v="Los Angeles"/>
    <s v="Snacks"/>
    <x v="4"/>
    <x v="71"/>
    <n v="1.68"/>
    <n v="48.72"/>
  </r>
  <r>
    <d v="2019-11-30T00:00:00"/>
    <x v="0"/>
    <s v="New York"/>
    <s v="Bars"/>
    <x v="0"/>
    <x v="72"/>
    <n v="1.77"/>
    <n v="162.84"/>
  </r>
  <r>
    <d v="2019-12-03T00:00:00"/>
    <x v="1"/>
    <s v="San Diego"/>
    <s v="Cookies"/>
    <x v="3"/>
    <x v="73"/>
    <n v="2.1799999999999997"/>
    <n v="303.02"/>
  </r>
  <r>
    <d v="2019-12-06T00:00:00"/>
    <x v="1"/>
    <s v="San Diego"/>
    <s v="Cookies"/>
    <x v="5"/>
    <x v="71"/>
    <n v="2.84"/>
    <n v="82.36"/>
  </r>
  <r>
    <d v="2019-12-09T00:00:00"/>
    <x v="0"/>
    <s v="Boston"/>
    <s v="Bars"/>
    <x v="8"/>
    <x v="19"/>
    <n v="2.27"/>
    <n v="68.099999999999994"/>
  </r>
  <r>
    <d v="2019-12-12T00:00:00"/>
    <x v="0"/>
    <s v="Boston"/>
    <s v="Cookies"/>
    <x v="2"/>
    <x v="10"/>
    <n v="1.8699999999999999"/>
    <n v="67.319999999999993"/>
  </r>
  <r>
    <d v="2019-12-15T00:00:00"/>
    <x v="0"/>
    <s v="Boston"/>
    <s v="Crackers"/>
    <x v="1"/>
    <x v="74"/>
    <n v="3.49"/>
    <n v="143.09"/>
  </r>
  <r>
    <d v="2019-12-18T00:00:00"/>
    <x v="1"/>
    <s v="Los Angeles"/>
    <s v="Bars"/>
    <x v="0"/>
    <x v="12"/>
    <n v="1.7699999999999998"/>
    <n v="77.88"/>
  </r>
  <r>
    <d v="2019-12-21T00:00:00"/>
    <x v="1"/>
    <s v="Los Angeles"/>
    <s v="Snacks"/>
    <x v="4"/>
    <x v="71"/>
    <n v="1.68"/>
    <n v="48.72"/>
  </r>
  <r>
    <d v="2019-12-24T00:00:00"/>
    <x v="0"/>
    <s v="New York"/>
    <s v="Cookies"/>
    <x v="3"/>
    <x v="75"/>
    <n v="2.1799999999999997"/>
    <n v="516.66"/>
  </r>
  <r>
    <d v="2019-12-27T00:00:00"/>
    <x v="0"/>
    <s v="New York"/>
    <s v="Cookies"/>
    <x v="2"/>
    <x v="59"/>
    <n v="1.8699999999999999"/>
    <n v="121.55"/>
  </r>
  <r>
    <d v="2019-12-30T00:00:00"/>
    <x v="1"/>
    <s v="San Diego"/>
    <s v="Cookies"/>
    <x v="3"/>
    <x v="76"/>
    <n v="2.1800000000000002"/>
    <n v="180.94000000000003"/>
  </r>
  <r>
    <d v="2020-01-02T00:00:00"/>
    <x v="0"/>
    <s v="Boston"/>
    <s v="Cookies"/>
    <x v="3"/>
    <x v="65"/>
    <n v="2.1800000000000002"/>
    <n v="69.760000000000005"/>
  </r>
  <r>
    <d v="2020-01-05T00:00:00"/>
    <x v="0"/>
    <s v="Boston"/>
    <s v="Bars"/>
    <x v="0"/>
    <x v="33"/>
    <n v="1.77"/>
    <n v="111.51"/>
  </r>
  <r>
    <d v="2020-01-08T00:00:00"/>
    <x v="0"/>
    <s v="Boston"/>
    <s v="Snacks"/>
    <x v="7"/>
    <x v="71"/>
    <n v="3.15"/>
    <n v="91.35"/>
  </r>
  <r>
    <d v="2020-01-11T00:00:00"/>
    <x v="1"/>
    <s v="Los Angeles"/>
    <s v="Bars"/>
    <x v="6"/>
    <x v="61"/>
    <n v="1.87"/>
    <n v="143.99"/>
  </r>
  <r>
    <d v="2020-01-14T00:00:00"/>
    <x v="1"/>
    <s v="Los Angeles"/>
    <s v="Cookies"/>
    <x v="5"/>
    <x v="54"/>
    <n v="2.84"/>
    <n v="227.2"/>
  </r>
  <r>
    <d v="2020-01-17T00:00:00"/>
    <x v="0"/>
    <s v="New York"/>
    <s v="Bars"/>
    <x v="0"/>
    <x v="77"/>
    <n v="1.77"/>
    <n v="180.54"/>
  </r>
  <r>
    <d v="2020-01-20T00:00:00"/>
    <x v="0"/>
    <s v="New York"/>
    <s v="Crackers"/>
    <x v="1"/>
    <x v="11"/>
    <n v="3.4899999999999998"/>
    <n v="108.19"/>
  </r>
  <r>
    <d v="2020-01-23T00:00:00"/>
    <x v="1"/>
    <s v="San Diego"/>
    <s v="Bars"/>
    <x v="0"/>
    <x v="48"/>
    <n v="1.77"/>
    <n v="99.12"/>
  </r>
  <r>
    <d v="2020-01-26T00:00:00"/>
    <x v="0"/>
    <s v="Boston"/>
    <s v="Cookies"/>
    <x v="3"/>
    <x v="45"/>
    <n v="2.1800000000000002"/>
    <n v="113.36000000000001"/>
  </r>
  <r>
    <d v="2020-01-29T00:00:00"/>
    <x v="0"/>
    <s v="Boston"/>
    <s v="Bars"/>
    <x v="0"/>
    <x v="7"/>
    <n v="1.77"/>
    <n v="90.27"/>
  </r>
  <r>
    <d v="2020-02-01T00:00:00"/>
    <x v="0"/>
    <s v="Boston"/>
    <s v="Snacks"/>
    <x v="4"/>
    <x v="51"/>
    <n v="1.68"/>
    <n v="40.32"/>
  </r>
  <r>
    <d v="2020-02-04T00:00:00"/>
    <x v="1"/>
    <s v="Los Angeles"/>
    <s v="Cookies"/>
    <x v="3"/>
    <x v="2"/>
    <n v="2.1800000000000002"/>
    <n v="126.44000000000001"/>
  </r>
  <r>
    <d v="2020-02-07T00:00:00"/>
    <x v="1"/>
    <s v="Los Angeles"/>
    <s v="Cookies"/>
    <x v="2"/>
    <x v="78"/>
    <n v="1.8699999999999999"/>
    <n v="63.58"/>
  </r>
  <r>
    <d v="2020-02-10T00:00:00"/>
    <x v="0"/>
    <s v="New York"/>
    <s v="Bars"/>
    <x v="0"/>
    <x v="78"/>
    <n v="1.77"/>
    <n v="60.18"/>
  </r>
  <r>
    <d v="2020-02-13T00:00:00"/>
    <x v="0"/>
    <s v="New York"/>
    <s v="Snacks"/>
    <x v="4"/>
    <x v="37"/>
    <n v="1.6800000000000002"/>
    <n v="35.28"/>
  </r>
  <r>
    <d v="2020-02-16T00:00:00"/>
    <x v="1"/>
    <s v="San Diego"/>
    <s v="Cookies"/>
    <x v="5"/>
    <x v="71"/>
    <n v="2.84"/>
    <n v="82.36"/>
  </r>
  <r>
    <d v="2020-02-19T00:00:00"/>
    <x v="0"/>
    <s v="Boston"/>
    <s v="Bars"/>
    <x v="0"/>
    <x v="23"/>
    <n v="1.77"/>
    <n v="120.36"/>
  </r>
  <r>
    <d v="2020-02-22T00:00:00"/>
    <x v="0"/>
    <s v="Boston"/>
    <s v="Snacks"/>
    <x v="7"/>
    <x v="11"/>
    <n v="3.1500000000000004"/>
    <n v="97.65"/>
  </r>
  <r>
    <d v="2020-02-25T00:00:00"/>
    <x v="1"/>
    <s v="Los Angeles"/>
    <s v="Cookies"/>
    <x v="3"/>
    <x v="19"/>
    <n v="2.1800000000000002"/>
    <n v="65.400000000000006"/>
  </r>
  <r>
    <d v="2020-02-28T00:00:00"/>
    <x v="1"/>
    <s v="Los Angeles"/>
    <s v="Cookies"/>
    <x v="2"/>
    <x v="79"/>
    <n v="1.8699999999999999"/>
    <n v="433.84"/>
  </r>
  <r>
    <d v="2020-03-02T00:00:00"/>
    <x v="0"/>
    <s v="New York"/>
    <s v="Bars"/>
    <x v="6"/>
    <x v="23"/>
    <n v="1.8699999999999999"/>
    <n v="127.16"/>
  </r>
  <r>
    <d v="2020-03-05T00:00:00"/>
    <x v="0"/>
    <s v="New York"/>
    <s v="Cookies"/>
    <x v="5"/>
    <x v="70"/>
    <n v="2.8400000000000003"/>
    <n v="275.48"/>
  </r>
  <r>
    <d v="2020-03-08T00:00:00"/>
    <x v="1"/>
    <s v="San Diego"/>
    <s v="Bars"/>
    <x v="6"/>
    <x v="22"/>
    <n v="1.8699999999999999"/>
    <n v="160.82"/>
  </r>
  <r>
    <d v="2020-03-11T00:00:00"/>
    <x v="1"/>
    <s v="San Diego"/>
    <s v="Snacks"/>
    <x v="4"/>
    <x v="74"/>
    <n v="1.68"/>
    <n v="68.88"/>
  </r>
  <r>
    <d v="2020-03-14T00:00:00"/>
    <x v="0"/>
    <s v="Boston"/>
    <s v="Bars"/>
    <x v="0"/>
    <x v="80"/>
    <n v="1.7700000000000002"/>
    <n v="164.61"/>
  </r>
  <r>
    <d v="2020-03-17T00:00:00"/>
    <x v="0"/>
    <s v="Boston"/>
    <s v="Snacks"/>
    <x v="4"/>
    <x v="81"/>
    <n v="1.68"/>
    <n v="78.959999999999994"/>
  </r>
  <r>
    <d v="2020-03-20T00:00:00"/>
    <x v="1"/>
    <s v="Los Angeles"/>
    <s v="Bars"/>
    <x v="0"/>
    <x v="25"/>
    <n v="1.77"/>
    <n v="182.31"/>
  </r>
  <r>
    <d v="2020-03-23T00:00:00"/>
    <x v="1"/>
    <s v="Los Angeles"/>
    <s v="Snacks"/>
    <x v="4"/>
    <x v="0"/>
    <n v="1.68"/>
    <n v="55.44"/>
  </r>
  <r>
    <d v="2020-03-26T00:00:00"/>
    <x v="0"/>
    <s v="New York"/>
    <s v="Bars"/>
    <x v="6"/>
    <x v="82"/>
    <n v="1.87"/>
    <n v="106.59"/>
  </r>
  <r>
    <d v="2020-03-29T00:00:00"/>
    <x v="0"/>
    <s v="New York"/>
    <s v="Cookies"/>
    <x v="5"/>
    <x v="59"/>
    <n v="2.84"/>
    <n v="184.6"/>
  </r>
  <r>
    <d v="2020-04-01T00:00:00"/>
    <x v="1"/>
    <s v="San Diego"/>
    <s v="Bars"/>
    <x v="0"/>
    <x v="83"/>
    <n v="1.77"/>
    <n v="208.86"/>
  </r>
  <r>
    <d v="2020-04-04T00:00:00"/>
    <x v="0"/>
    <s v="Boston"/>
    <s v="Cookies"/>
    <x v="3"/>
    <x v="10"/>
    <n v="2.1800000000000002"/>
    <n v="78.48"/>
  </r>
  <r>
    <d v="2020-04-07T00:00:00"/>
    <x v="0"/>
    <s v="Boston"/>
    <s v="Cookies"/>
    <x v="5"/>
    <x v="16"/>
    <n v="2.84"/>
    <n v="349.32"/>
  </r>
  <r>
    <d v="2020-04-10T00:00:00"/>
    <x v="1"/>
    <s v="Los Angeles"/>
    <s v="Bars"/>
    <x v="0"/>
    <x v="68"/>
    <n v="1.77"/>
    <n v="159.30000000000001"/>
  </r>
  <r>
    <d v="2020-04-13T00:00:00"/>
    <x v="1"/>
    <s v="Los Angeles"/>
    <s v="Crackers"/>
    <x v="1"/>
    <x v="37"/>
    <n v="3.49"/>
    <n v="73.290000000000006"/>
  </r>
  <r>
    <d v="2020-04-16T00:00:00"/>
    <x v="0"/>
    <s v="New York"/>
    <s v="Bars"/>
    <x v="0"/>
    <x v="28"/>
    <n v="1.7699999999999998"/>
    <n v="84.96"/>
  </r>
  <r>
    <d v="2020-04-19T00:00:00"/>
    <x v="0"/>
    <s v="New York"/>
    <s v="Snacks"/>
    <x v="4"/>
    <x v="51"/>
    <n v="1.68"/>
    <n v="40.32"/>
  </r>
  <r>
    <d v="2020-04-22T00:00:00"/>
    <x v="1"/>
    <s v="San Diego"/>
    <s v="Cookies"/>
    <x v="2"/>
    <x v="84"/>
    <n v="1.87"/>
    <n v="125.29"/>
  </r>
  <r>
    <d v="2020-04-25T00:00:00"/>
    <x v="0"/>
    <s v="Boston"/>
    <s v="Bars"/>
    <x v="6"/>
    <x v="14"/>
    <n v="1.87"/>
    <n v="50.49"/>
  </r>
  <r>
    <d v="2020-04-28T00:00:00"/>
    <x v="0"/>
    <s v="Boston"/>
    <s v="Cookies"/>
    <x v="5"/>
    <x v="85"/>
    <n v="2.8400000000000003"/>
    <n v="366.36"/>
  </r>
  <r>
    <d v="2020-05-01T00:00:00"/>
    <x v="1"/>
    <s v="Los Angeles"/>
    <s v="Cookies"/>
    <x v="3"/>
    <x v="61"/>
    <n v="2.1800000000000002"/>
    <n v="167.86"/>
  </r>
  <r>
    <d v="2020-05-04T00:00:00"/>
    <x v="1"/>
    <s v="Los Angeles"/>
    <s v="Cookies"/>
    <x v="2"/>
    <x v="2"/>
    <n v="1.8699999999999999"/>
    <n v="108.46"/>
  </r>
  <r>
    <d v="2020-05-07T00:00:00"/>
    <x v="0"/>
    <s v="New York"/>
    <s v="Bars"/>
    <x v="6"/>
    <x v="81"/>
    <n v="1.87"/>
    <n v="87.89"/>
  </r>
  <r>
    <d v="2020-05-10T00:00:00"/>
    <x v="0"/>
    <s v="New York"/>
    <s v="Cookies"/>
    <x v="5"/>
    <x v="0"/>
    <n v="2.84"/>
    <n v="93.72"/>
  </r>
  <r>
    <d v="2020-05-13T00:00:00"/>
    <x v="1"/>
    <s v="San Diego"/>
    <s v="Cookies"/>
    <x v="2"/>
    <x v="3"/>
    <n v="1.87"/>
    <n v="153.34"/>
  </r>
  <r>
    <d v="2020-05-16T00:00:00"/>
    <x v="0"/>
    <s v="Boston"/>
    <s v="Bars"/>
    <x v="0"/>
    <x v="2"/>
    <n v="1.77"/>
    <n v="102.66"/>
  </r>
  <r>
    <d v="2020-05-19T00:00:00"/>
    <x v="0"/>
    <s v="Boston"/>
    <s v="Snacks"/>
    <x v="7"/>
    <x v="19"/>
    <n v="3.15"/>
    <n v="94.5"/>
  </r>
  <r>
    <d v="2020-05-22T00:00:00"/>
    <x v="1"/>
    <s v="Los Angeles"/>
    <s v="Cookies"/>
    <x v="2"/>
    <x v="15"/>
    <n v="1.8699999999999999"/>
    <n v="80.41"/>
  </r>
  <r>
    <d v="2020-05-25T00:00:00"/>
    <x v="0"/>
    <s v="New York"/>
    <s v="Bars"/>
    <x v="0"/>
    <x v="86"/>
    <n v="1.77"/>
    <n v="148.68"/>
  </r>
  <r>
    <d v="2020-05-28T00:00:00"/>
    <x v="1"/>
    <s v="San Diego"/>
    <s v="Cookies"/>
    <x v="3"/>
    <x v="10"/>
    <n v="2.1800000000000002"/>
    <n v="78.48"/>
  </r>
  <r>
    <d v="2020-05-31T00:00:00"/>
    <x v="1"/>
    <s v="San Diego"/>
    <s v="Cookies"/>
    <x v="5"/>
    <x v="12"/>
    <n v="2.84"/>
    <n v="124.96"/>
  </r>
  <r>
    <d v="2020-06-03T00:00:00"/>
    <x v="0"/>
    <s v="Boston"/>
    <s v="Bars"/>
    <x v="6"/>
    <x v="14"/>
    <n v="1.87"/>
    <n v="50.49"/>
  </r>
  <r>
    <d v="2020-06-06T00:00:00"/>
    <x v="0"/>
    <s v="Boston"/>
    <s v="Cookies"/>
    <x v="5"/>
    <x v="87"/>
    <n v="2.8400000000000003"/>
    <n v="340.8"/>
  </r>
  <r>
    <d v="2020-06-09T00:00:00"/>
    <x v="0"/>
    <s v="Boston"/>
    <s v="Crackers"/>
    <x v="1"/>
    <x v="88"/>
    <n v="3.4899999999999998"/>
    <n v="90.74"/>
  </r>
  <r>
    <d v="2020-06-12T00:00:00"/>
    <x v="1"/>
    <s v="Los Angeles"/>
    <s v="Bars"/>
    <x v="0"/>
    <x v="89"/>
    <n v="1.77"/>
    <n v="129.21"/>
  </r>
  <r>
    <d v="2020-06-15T00:00:00"/>
    <x v="0"/>
    <s v="New York"/>
    <s v="Bars"/>
    <x v="6"/>
    <x v="4"/>
    <n v="1.87"/>
    <n v="71.06"/>
  </r>
  <r>
    <d v="2020-06-18T00:00:00"/>
    <x v="0"/>
    <s v="New York"/>
    <s v="Cookies"/>
    <x v="5"/>
    <x v="21"/>
    <n v="2.84"/>
    <n v="113.6"/>
  </r>
  <r>
    <d v="2020-06-21T00:00:00"/>
    <x v="1"/>
    <s v="San Diego"/>
    <s v="Bars"/>
    <x v="0"/>
    <x v="74"/>
    <n v="1.7699999999999998"/>
    <n v="72.569999999999993"/>
  </r>
  <r>
    <d v="2020-06-24T00:00:00"/>
    <x v="0"/>
    <s v="Boston"/>
    <s v="Bars"/>
    <x v="8"/>
    <x v="14"/>
    <n v="2.27"/>
    <n v="61.29"/>
  </r>
  <r>
    <d v="2020-06-27T00:00:00"/>
    <x v="0"/>
    <s v="Boston"/>
    <s v="Cookies"/>
    <x v="2"/>
    <x v="4"/>
    <n v="1.87"/>
    <n v="71.06"/>
  </r>
  <r>
    <d v="2020-06-30T00:00:00"/>
    <x v="0"/>
    <s v="Boston"/>
    <s v="Crackers"/>
    <x v="1"/>
    <x v="78"/>
    <n v="3.4899999999999998"/>
    <n v="118.66"/>
  </r>
  <r>
    <d v="2020-07-03T00:00:00"/>
    <x v="1"/>
    <s v="Los Angeles"/>
    <s v="Bars"/>
    <x v="6"/>
    <x v="59"/>
    <n v="1.8699999999999999"/>
    <n v="121.55"/>
  </r>
  <r>
    <d v="2020-07-06T00:00:00"/>
    <x v="1"/>
    <s v="Los Angeles"/>
    <s v="Cookies"/>
    <x v="5"/>
    <x v="90"/>
    <n v="2.8400000000000003"/>
    <n v="170.4"/>
  </r>
  <r>
    <d v="2020-07-09T00:00:00"/>
    <x v="0"/>
    <s v="New York"/>
    <s v="Cookies"/>
    <x v="3"/>
    <x v="91"/>
    <n v="2.1799999999999997"/>
    <n v="80.66"/>
  </r>
  <r>
    <d v="2020-07-12T00:00:00"/>
    <x v="0"/>
    <s v="New York"/>
    <s v="Cookies"/>
    <x v="2"/>
    <x v="21"/>
    <n v="1.8699999999999999"/>
    <n v="74.8"/>
  </r>
  <r>
    <d v="2020-07-15T00:00:00"/>
    <x v="1"/>
    <s v="San Diego"/>
    <s v="Bars"/>
    <x v="6"/>
    <x v="88"/>
    <n v="1.8699999999999999"/>
    <n v="48.62"/>
  </r>
  <r>
    <d v="2020-07-18T00:00:00"/>
    <x v="0"/>
    <s v="Boston"/>
    <s v="Bars"/>
    <x v="8"/>
    <x v="92"/>
    <n v="2.27"/>
    <n v="49.94"/>
  </r>
  <r>
    <d v="2020-07-21T00:00:00"/>
    <x v="0"/>
    <s v="Boston"/>
    <s v="Cookies"/>
    <x v="2"/>
    <x v="65"/>
    <n v="1.87"/>
    <n v="59.84"/>
  </r>
  <r>
    <d v="2020-07-24T00:00:00"/>
    <x v="0"/>
    <s v="Boston"/>
    <s v="Crackers"/>
    <x v="1"/>
    <x v="13"/>
    <n v="3.4899999999999998"/>
    <n v="80.27"/>
  </r>
  <r>
    <d v="2020-07-27T00:00:00"/>
    <x v="1"/>
    <s v="Los Angeles"/>
    <s v="Cookies"/>
    <x v="3"/>
    <x v="30"/>
    <n v="2.1800000000000002"/>
    <n v="43.6"/>
  </r>
  <r>
    <d v="2020-07-30T00:00:00"/>
    <x v="1"/>
    <s v="Los Angeles"/>
    <s v="Cookies"/>
    <x v="2"/>
    <x v="32"/>
    <n v="1.87"/>
    <n v="119.68"/>
  </r>
  <r>
    <d v="2020-08-02T00:00:00"/>
    <x v="0"/>
    <s v="New York"/>
    <s v="Bars"/>
    <x v="0"/>
    <x v="93"/>
    <n v="1.77"/>
    <n v="125.67"/>
  </r>
  <r>
    <d v="2020-08-05T00:00:00"/>
    <x v="1"/>
    <s v="San Diego"/>
    <s v="Cookies"/>
    <x v="3"/>
    <x v="68"/>
    <n v="2.1799999999999997"/>
    <n v="196.2"/>
  </r>
  <r>
    <d v="2020-08-08T00:00:00"/>
    <x v="1"/>
    <s v="San Diego"/>
    <s v="Cookies"/>
    <x v="5"/>
    <x v="4"/>
    <n v="2.84"/>
    <n v="107.91999999999999"/>
  </r>
  <r>
    <d v="2020-08-11T00:00:00"/>
    <x v="0"/>
    <s v="Boston"/>
    <s v="Bars"/>
    <x v="0"/>
    <x v="39"/>
    <n v="1.7699999999999998"/>
    <n v="97.35"/>
  </r>
  <r>
    <d v="2020-08-14T00:00:00"/>
    <x v="0"/>
    <s v="Boston"/>
    <s v="Snacks"/>
    <x v="7"/>
    <x v="92"/>
    <n v="3.15"/>
    <n v="69.3"/>
  </r>
  <r>
    <d v="2020-08-17T00:00:00"/>
    <x v="1"/>
    <s v="Los Angeles"/>
    <s v="Bars"/>
    <x v="0"/>
    <x v="78"/>
    <n v="1.77"/>
    <n v="60.18"/>
  </r>
  <r>
    <d v="2020-08-20T00:00:00"/>
    <x v="0"/>
    <s v="New York"/>
    <s v="Bars"/>
    <x v="6"/>
    <x v="24"/>
    <n v="1.87"/>
    <n v="72.930000000000007"/>
  </r>
  <r>
    <d v="2020-08-23T00:00:00"/>
    <x v="0"/>
    <s v="New York"/>
    <s v="Cookies"/>
    <x v="5"/>
    <x v="74"/>
    <n v="2.84"/>
    <n v="116.44"/>
  </r>
  <r>
    <d v="2020-08-26T00:00:00"/>
    <x v="1"/>
    <s v="San Diego"/>
    <s v="Bars"/>
    <x v="0"/>
    <x v="74"/>
    <n v="1.7699999999999998"/>
    <n v="72.569999999999993"/>
  </r>
  <r>
    <d v="2020-08-29T00:00:00"/>
    <x v="0"/>
    <s v="Boston"/>
    <s v="Cookies"/>
    <x v="3"/>
    <x v="46"/>
    <n v="2.1800000000000002"/>
    <n v="296.48"/>
  </r>
  <r>
    <d v="2020-09-01T00:00:00"/>
    <x v="0"/>
    <s v="Boston"/>
    <s v="Bars"/>
    <x v="0"/>
    <x v="36"/>
    <n v="1.77"/>
    <n v="44.25"/>
  </r>
  <r>
    <d v="2020-09-04T00:00:00"/>
    <x v="0"/>
    <s v="Boston"/>
    <s v="Snacks"/>
    <x v="7"/>
    <x v="88"/>
    <n v="3.1500000000000004"/>
    <n v="81.900000000000006"/>
  </r>
  <r>
    <d v="2020-09-07T00:00:00"/>
    <x v="1"/>
    <s v="Los Angeles"/>
    <s v="Bars"/>
    <x v="6"/>
    <x v="94"/>
    <n v="1.87"/>
    <n v="93.5"/>
  </r>
  <r>
    <d v="2020-09-10T00:00:00"/>
    <x v="1"/>
    <s v="Los Angeles"/>
    <s v="Cookies"/>
    <x v="5"/>
    <x v="95"/>
    <n v="2.8400000000000003"/>
    <n v="224.36"/>
  </r>
  <r>
    <d v="2020-09-13T00:00:00"/>
    <x v="0"/>
    <s v="New York"/>
    <s v="Bars"/>
    <x v="0"/>
    <x v="19"/>
    <n v="1.77"/>
    <n v="53.1"/>
  </r>
  <r>
    <d v="2020-09-16T00:00:00"/>
    <x v="0"/>
    <s v="New York"/>
    <s v="Snacks"/>
    <x v="4"/>
    <x v="30"/>
    <n v="1.6800000000000002"/>
    <n v="33.6"/>
  </r>
  <r>
    <d v="2020-09-19T00:00:00"/>
    <x v="1"/>
    <s v="San Diego"/>
    <s v="Bars"/>
    <x v="0"/>
    <x v="38"/>
    <n v="1.77"/>
    <n v="86.73"/>
  </r>
  <r>
    <d v="2020-09-22T00:00:00"/>
    <x v="0"/>
    <s v="Boston"/>
    <s v="Cookies"/>
    <x v="3"/>
    <x v="21"/>
    <n v="2.1800000000000002"/>
    <n v="87.2"/>
  </r>
  <r>
    <d v="2020-09-25T00:00:00"/>
    <x v="0"/>
    <s v="Boston"/>
    <s v="Bars"/>
    <x v="0"/>
    <x v="11"/>
    <n v="1.77"/>
    <n v="54.87"/>
  </r>
  <r>
    <d v="2020-09-28T00:00:00"/>
    <x v="0"/>
    <s v="Boston"/>
    <s v="Snacks"/>
    <x v="7"/>
    <x v="37"/>
    <n v="3.1500000000000004"/>
    <n v="66.150000000000006"/>
  </r>
  <r>
    <d v="2020-10-01T00:00:00"/>
    <x v="1"/>
    <s v="Los Angeles"/>
    <s v="Bars"/>
    <x v="6"/>
    <x v="15"/>
    <n v="1.8699999999999999"/>
    <n v="80.41"/>
  </r>
  <r>
    <d v="2020-10-04T00:00:00"/>
    <x v="1"/>
    <s v="Los Angeles"/>
    <s v="Cookies"/>
    <x v="5"/>
    <x v="81"/>
    <n v="2.84"/>
    <n v="133.47999999999999"/>
  </r>
  <r>
    <d v="2020-10-07T00:00:00"/>
    <x v="0"/>
    <s v="New York"/>
    <s v="Cookies"/>
    <x v="3"/>
    <x v="96"/>
    <n v="2.1800000000000002"/>
    <n v="381.5"/>
  </r>
  <r>
    <d v="2020-10-10T00:00:00"/>
    <x v="0"/>
    <s v="New York"/>
    <s v="Cookies"/>
    <x v="2"/>
    <x v="13"/>
    <n v="1.8699999999999999"/>
    <n v="43.01"/>
  </r>
  <r>
    <d v="2020-10-13T00:00:00"/>
    <x v="1"/>
    <s v="San Diego"/>
    <s v="Bars"/>
    <x v="0"/>
    <x v="21"/>
    <n v="1.77"/>
    <n v="70.8"/>
  </r>
  <r>
    <d v="2020-10-16T00:00:00"/>
    <x v="0"/>
    <s v="Boston"/>
    <s v="Cookies"/>
    <x v="3"/>
    <x v="1"/>
    <n v="2.1800000000000002"/>
    <n v="189.66000000000003"/>
  </r>
  <r>
    <d v="2020-10-19T00:00:00"/>
    <x v="0"/>
    <s v="Boston"/>
    <s v="Bars"/>
    <x v="0"/>
    <x v="15"/>
    <n v="1.77"/>
    <n v="76.11"/>
  </r>
  <r>
    <d v="2020-10-22T00:00:00"/>
    <x v="0"/>
    <s v="Boston"/>
    <s v="Crackers"/>
    <x v="1"/>
    <x v="19"/>
    <n v="3.49"/>
    <n v="104.7"/>
  </r>
  <r>
    <d v="2020-10-25T00:00:00"/>
    <x v="1"/>
    <s v="Los Angeles"/>
    <s v="Bars"/>
    <x v="0"/>
    <x v="97"/>
    <n v="1.77"/>
    <n v="61.95"/>
  </r>
  <r>
    <d v="2020-10-28T00:00:00"/>
    <x v="0"/>
    <s v="New York"/>
    <s v="Bars"/>
    <x v="6"/>
    <x v="82"/>
    <n v="1.87"/>
    <n v="106.59"/>
  </r>
  <r>
    <d v="2020-10-31T00:00:00"/>
    <x v="0"/>
    <s v="New York"/>
    <s v="Snacks"/>
    <x v="4"/>
    <x v="36"/>
    <n v="1.68"/>
    <n v="42"/>
  </r>
  <r>
    <d v="2020-11-03T00:00:00"/>
    <x v="1"/>
    <s v="San Diego"/>
    <s v="Cookies"/>
    <x v="2"/>
    <x v="51"/>
    <n v="1.87"/>
    <n v="44.88"/>
  </r>
  <r>
    <d v="2020-11-06T00:00:00"/>
    <x v="0"/>
    <s v="Boston"/>
    <s v="Bars"/>
    <x v="6"/>
    <x v="76"/>
    <n v="1.87"/>
    <n v="155.21"/>
  </r>
  <r>
    <d v="2020-11-09T00:00:00"/>
    <x v="0"/>
    <s v="Boston"/>
    <s v="Cookies"/>
    <x v="5"/>
    <x v="98"/>
    <n v="2.8400000000000003"/>
    <n v="352.16"/>
  </r>
  <r>
    <d v="2020-11-12T00:00:00"/>
    <x v="1"/>
    <s v="Los Angeles"/>
    <s v="Bars"/>
    <x v="0"/>
    <x v="49"/>
    <n v="1.77"/>
    <n v="242.49"/>
  </r>
  <r>
    <d v="2020-11-15T00:00:00"/>
    <x v="0"/>
    <s v="New York"/>
    <s v="Cookies"/>
    <x v="3"/>
    <x v="99"/>
    <n v="2.1799999999999997"/>
    <n v="318.27999999999997"/>
  </r>
  <r>
    <d v="2020-11-18T00:00:00"/>
    <x v="0"/>
    <s v="New York"/>
    <s v="Cookies"/>
    <x v="2"/>
    <x v="78"/>
    <n v="1.8699999999999999"/>
    <n v="63.58"/>
  </r>
  <r>
    <d v="2020-11-21T00:00:00"/>
    <x v="1"/>
    <s v="San Diego"/>
    <s v="Bars"/>
    <x v="0"/>
    <x v="30"/>
    <n v="1.77"/>
    <n v="35.4"/>
  </r>
  <r>
    <d v="2020-11-24T00:00:00"/>
    <x v="0"/>
    <s v="Boston"/>
    <s v="Cookies"/>
    <x v="3"/>
    <x v="73"/>
    <n v="2.1799999999999997"/>
    <n v="303.02"/>
  </r>
  <r>
    <d v="2020-11-27T00:00:00"/>
    <x v="0"/>
    <s v="Boston"/>
    <s v="Cookies"/>
    <x v="2"/>
    <x v="100"/>
    <n v="1.8699999999999999"/>
    <n v="394.57"/>
  </r>
  <r>
    <d v="2020-11-30T00:00:00"/>
    <x v="0"/>
    <s v="Boston"/>
    <s v="Crackers"/>
    <x v="1"/>
    <x v="30"/>
    <n v="3.4899999999999998"/>
    <n v="69.8"/>
  </r>
  <r>
    <d v="2020-12-03T00:00:00"/>
    <x v="1"/>
    <s v="Los Angeles"/>
    <s v="Bars"/>
    <x v="6"/>
    <x v="17"/>
    <n v="1.87"/>
    <n v="78.540000000000006"/>
  </r>
  <r>
    <d v="2020-12-06T00:00:00"/>
    <x v="1"/>
    <s v="Los Angeles"/>
    <s v="Cookies"/>
    <x v="5"/>
    <x v="8"/>
    <n v="2.84"/>
    <n v="284"/>
  </r>
  <r>
    <d v="2020-12-09T00:00:00"/>
    <x v="0"/>
    <s v="New York"/>
    <s v="Bars"/>
    <x v="0"/>
    <x v="4"/>
    <n v="1.7700000000000002"/>
    <n v="67.260000000000005"/>
  </r>
  <r>
    <d v="2020-12-12T00:00:00"/>
    <x v="0"/>
    <s v="New York"/>
    <s v="Crackers"/>
    <x v="1"/>
    <x v="36"/>
    <n v="3.49"/>
    <n v="87.25"/>
  </r>
  <r>
    <d v="2020-12-15T00:00:00"/>
    <x v="1"/>
    <s v="San Diego"/>
    <s v="Cookies"/>
    <x v="2"/>
    <x v="101"/>
    <n v="1.87"/>
    <n v="179.52"/>
  </r>
  <r>
    <d v="2020-12-18T00:00:00"/>
    <x v="0"/>
    <s v="Boston"/>
    <s v="Cookies"/>
    <x v="3"/>
    <x v="78"/>
    <n v="2.1800000000000002"/>
    <n v="74.12"/>
  </r>
  <r>
    <d v="2020-12-21T00:00:00"/>
    <x v="0"/>
    <s v="Boston"/>
    <s v="Cookies"/>
    <x v="2"/>
    <x v="102"/>
    <n v="1.8699999999999999"/>
    <n v="458.15"/>
  </r>
  <r>
    <d v="2020-12-24T00:00:00"/>
    <x v="0"/>
    <s v="Boston"/>
    <s v="Crackers"/>
    <x v="1"/>
    <x v="19"/>
    <n v="3.49"/>
    <n v="104.7"/>
  </r>
  <r>
    <d v="2020-12-27T00:00:00"/>
    <x v="1"/>
    <s v="Los Angeles"/>
    <s v="Bars"/>
    <x v="6"/>
    <x v="19"/>
    <n v="1.87"/>
    <n v="56.1"/>
  </r>
  <r>
    <d v="2020-12-30T00:00:00"/>
    <x v="1"/>
    <s v="Los Angeles"/>
    <s v="Cookies"/>
    <x v="5"/>
    <x v="12"/>
    <n v="2.84"/>
    <n v="124.9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44">
  <r>
    <d v="2019-01-01T00:00:00"/>
    <x v="0"/>
    <s v="Boston"/>
    <s v="Bars"/>
    <x v="0"/>
    <x v="0"/>
    <n v="1.7699999999999998"/>
    <n v="58.41"/>
  </r>
  <r>
    <d v="2019-01-04T00:00:00"/>
    <x v="0"/>
    <s v="Boston"/>
    <s v="Crackers"/>
    <x v="1"/>
    <x v="1"/>
    <n v="3.4899999999999998"/>
    <n v="303.63"/>
  </r>
  <r>
    <d v="2019-01-07T00:00:00"/>
    <x v="1"/>
    <s v="Los Angeles"/>
    <s v="Cookies"/>
    <x v="2"/>
    <x v="2"/>
    <n v="1.8699999999999999"/>
    <n v="108.46"/>
  </r>
  <r>
    <d v="2019-01-10T00:00:00"/>
    <x v="0"/>
    <s v="New York"/>
    <s v="Cookies"/>
    <x v="2"/>
    <x v="3"/>
    <n v="1.87"/>
    <n v="153.34"/>
  </r>
  <r>
    <d v="2019-01-13T00:00:00"/>
    <x v="0"/>
    <s v="Boston"/>
    <s v="Cookies"/>
    <x v="3"/>
    <x v="4"/>
    <n v="2.1800000000000002"/>
    <n v="82.84"/>
  </r>
  <r>
    <d v="2019-01-16T00:00:00"/>
    <x v="0"/>
    <s v="Boston"/>
    <s v="Bars"/>
    <x v="0"/>
    <x v="5"/>
    <n v="1.77"/>
    <n v="95.58"/>
  </r>
  <r>
    <d v="2019-01-19T00:00:00"/>
    <x v="0"/>
    <s v="Boston"/>
    <s v="Crackers"/>
    <x v="1"/>
    <x v="6"/>
    <n v="3.4899999999999998"/>
    <n v="520.01"/>
  </r>
  <r>
    <d v="2019-01-22T00:00:00"/>
    <x v="1"/>
    <s v="Los Angeles"/>
    <s v="Bars"/>
    <x v="0"/>
    <x v="7"/>
    <n v="1.77"/>
    <n v="90.27"/>
  </r>
  <r>
    <d v="2019-01-25T00:00:00"/>
    <x v="0"/>
    <s v="New York"/>
    <s v="Bars"/>
    <x v="0"/>
    <x v="8"/>
    <n v="1.77"/>
    <n v="177"/>
  </r>
  <r>
    <d v="2019-01-28T00:00:00"/>
    <x v="0"/>
    <s v="New York"/>
    <s v="Snacks"/>
    <x v="4"/>
    <x v="9"/>
    <n v="1.35"/>
    <n v="37.800000000000004"/>
  </r>
  <r>
    <d v="2019-01-31T00:00:00"/>
    <x v="0"/>
    <s v="Boston"/>
    <s v="Cookies"/>
    <x v="3"/>
    <x v="10"/>
    <n v="2.1800000000000002"/>
    <n v="78.48"/>
  </r>
  <r>
    <d v="2019-02-03T00:00:00"/>
    <x v="0"/>
    <s v="Boston"/>
    <s v="Cookies"/>
    <x v="2"/>
    <x v="11"/>
    <n v="1.8699999999999999"/>
    <n v="57.97"/>
  </r>
  <r>
    <d v="2019-02-06T00:00:00"/>
    <x v="0"/>
    <s v="Boston"/>
    <s v="Crackers"/>
    <x v="1"/>
    <x v="9"/>
    <n v="3.4899999999999998"/>
    <n v="97.72"/>
  </r>
  <r>
    <d v="2019-02-09T00:00:00"/>
    <x v="1"/>
    <s v="Los Angeles"/>
    <s v="Bars"/>
    <x v="0"/>
    <x v="12"/>
    <n v="1.7699999999999998"/>
    <n v="77.88"/>
  </r>
  <r>
    <d v="2019-02-12T00:00:00"/>
    <x v="0"/>
    <s v="New York"/>
    <s v="Bars"/>
    <x v="0"/>
    <x v="13"/>
    <n v="1.77"/>
    <n v="40.71"/>
  </r>
  <r>
    <d v="2019-02-15T00:00:00"/>
    <x v="0"/>
    <s v="New York"/>
    <s v="Snacks"/>
    <x v="4"/>
    <x v="14"/>
    <n v="1.35"/>
    <n v="36.450000000000003"/>
  </r>
  <r>
    <d v="2019-02-18T00:00:00"/>
    <x v="0"/>
    <s v="Boston"/>
    <s v="Cookies"/>
    <x v="3"/>
    <x v="15"/>
    <n v="2.1799999999999997"/>
    <n v="93.739999999999981"/>
  </r>
  <r>
    <d v="2019-02-21T00:00:00"/>
    <x v="0"/>
    <s v="Boston"/>
    <s v="Cookies"/>
    <x v="5"/>
    <x v="16"/>
    <n v="2.84"/>
    <n v="349.32"/>
  </r>
  <r>
    <d v="2019-02-24T00:00:00"/>
    <x v="1"/>
    <s v="Los Angeles"/>
    <s v="Bars"/>
    <x v="6"/>
    <x v="17"/>
    <n v="1.87"/>
    <n v="78.540000000000006"/>
  </r>
  <r>
    <d v="2019-02-27T00:00:00"/>
    <x v="1"/>
    <s v="Los Angeles"/>
    <s v="Cookies"/>
    <x v="5"/>
    <x v="0"/>
    <n v="2.84"/>
    <n v="93.72"/>
  </r>
  <r>
    <d v="2019-03-02T00:00:00"/>
    <x v="0"/>
    <s v="New York"/>
    <s v="Cookies"/>
    <x v="2"/>
    <x v="18"/>
    <n v="1.8699999999999999"/>
    <n v="158.94999999999999"/>
  </r>
  <r>
    <d v="2019-03-05T00:00:00"/>
    <x v="1"/>
    <s v="San Diego"/>
    <s v="Cookies"/>
    <x v="5"/>
    <x v="19"/>
    <n v="2.8400000000000003"/>
    <n v="85.2"/>
  </r>
  <r>
    <d v="2019-03-08T00:00:00"/>
    <x v="0"/>
    <s v="Boston"/>
    <s v="Bars"/>
    <x v="0"/>
    <x v="20"/>
    <n v="1.77"/>
    <n v="107.97"/>
  </r>
  <r>
    <d v="2019-03-11T00:00:00"/>
    <x v="0"/>
    <s v="Boston"/>
    <s v="Crackers"/>
    <x v="1"/>
    <x v="21"/>
    <n v="3.4899999999999998"/>
    <n v="139.6"/>
  </r>
  <r>
    <d v="2019-03-14T00:00:00"/>
    <x v="1"/>
    <s v="Los Angeles"/>
    <s v="Cookies"/>
    <x v="2"/>
    <x v="22"/>
    <n v="1.8699999999999999"/>
    <n v="160.82"/>
  </r>
  <r>
    <d v="2019-03-17T00:00:00"/>
    <x v="0"/>
    <s v="New York"/>
    <s v="Bars"/>
    <x v="0"/>
    <x v="4"/>
    <n v="1.7700000000000002"/>
    <n v="67.260000000000005"/>
  </r>
  <r>
    <d v="2019-03-20T00:00:00"/>
    <x v="0"/>
    <s v="New York"/>
    <s v="Snacks"/>
    <x v="4"/>
    <x v="23"/>
    <n v="1.68"/>
    <n v="114.24"/>
  </r>
  <r>
    <d v="2019-03-23T00:00:00"/>
    <x v="1"/>
    <s v="San Diego"/>
    <s v="Cookies"/>
    <x v="2"/>
    <x v="24"/>
    <n v="1.87"/>
    <n v="72.930000000000007"/>
  </r>
  <r>
    <d v="2019-03-26T00:00:00"/>
    <x v="0"/>
    <s v="Boston"/>
    <s v="Bars"/>
    <x v="6"/>
    <x v="25"/>
    <n v="1.87"/>
    <n v="192.61"/>
  </r>
  <r>
    <d v="2019-03-29T00:00:00"/>
    <x v="0"/>
    <s v="Boston"/>
    <s v="Cookies"/>
    <x v="5"/>
    <x v="26"/>
    <n v="2.84"/>
    <n v="548.12"/>
  </r>
  <r>
    <d v="2019-04-01T00:00:00"/>
    <x v="1"/>
    <s v="Los Angeles"/>
    <s v="Bars"/>
    <x v="0"/>
    <x v="2"/>
    <n v="1.77"/>
    <n v="102.66"/>
  </r>
  <r>
    <d v="2019-04-04T00:00:00"/>
    <x v="1"/>
    <s v="Los Angeles"/>
    <s v="Snacks"/>
    <x v="4"/>
    <x v="23"/>
    <n v="1.68"/>
    <n v="114.24"/>
  </r>
  <r>
    <d v="2019-04-07T00:00:00"/>
    <x v="0"/>
    <s v="New York"/>
    <s v="Bars"/>
    <x v="0"/>
    <x v="27"/>
    <n v="1.77"/>
    <n v="161.07"/>
  </r>
  <r>
    <d v="2019-04-10T00:00:00"/>
    <x v="0"/>
    <s v="New York"/>
    <s v="Crackers"/>
    <x v="1"/>
    <x v="13"/>
    <n v="3.4899999999999998"/>
    <n v="80.27"/>
  </r>
  <r>
    <d v="2019-04-13T00:00:00"/>
    <x v="1"/>
    <s v="San Diego"/>
    <s v="Snacks"/>
    <x v="4"/>
    <x v="9"/>
    <n v="1.68"/>
    <n v="47.04"/>
  </r>
  <r>
    <d v="2019-04-16T00:00:00"/>
    <x v="0"/>
    <s v="Boston"/>
    <s v="Bars"/>
    <x v="0"/>
    <x v="28"/>
    <n v="1.7699999999999998"/>
    <n v="84.96"/>
  </r>
  <r>
    <d v="2019-04-19T00:00:00"/>
    <x v="0"/>
    <s v="Boston"/>
    <s v="Snacks"/>
    <x v="4"/>
    <x v="29"/>
    <n v="1.68"/>
    <n v="225.12"/>
  </r>
  <r>
    <d v="2019-04-22T00:00:00"/>
    <x v="1"/>
    <s v="Los Angeles"/>
    <s v="Bars"/>
    <x v="0"/>
    <x v="30"/>
    <n v="1.77"/>
    <n v="35.4"/>
  </r>
  <r>
    <d v="2019-04-25T00:00:00"/>
    <x v="0"/>
    <s v="New York"/>
    <s v="Bars"/>
    <x v="0"/>
    <x v="31"/>
    <n v="1.77"/>
    <n v="93.81"/>
  </r>
  <r>
    <d v="2019-04-28T00:00:00"/>
    <x v="0"/>
    <s v="New York"/>
    <s v="Snacks"/>
    <x v="4"/>
    <x v="32"/>
    <n v="1.68"/>
    <n v="107.52"/>
  </r>
  <r>
    <d v="2019-05-01T00:00:00"/>
    <x v="1"/>
    <s v="San Diego"/>
    <s v="Cookies"/>
    <x v="2"/>
    <x v="33"/>
    <n v="1.87"/>
    <n v="117.81"/>
  </r>
  <r>
    <d v="2019-05-04T00:00:00"/>
    <x v="0"/>
    <s v="Boston"/>
    <s v="Bars"/>
    <x v="6"/>
    <x v="34"/>
    <n v="1.8699999999999999"/>
    <n v="196.35"/>
  </r>
  <r>
    <d v="2019-05-07T00:00:00"/>
    <x v="0"/>
    <s v="Boston"/>
    <s v="Cookies"/>
    <x v="5"/>
    <x v="35"/>
    <n v="2.8400000000000003"/>
    <n v="391.92"/>
  </r>
  <r>
    <d v="2019-05-10T00:00:00"/>
    <x v="1"/>
    <s v="Los Angeles"/>
    <s v="Bars"/>
    <x v="0"/>
    <x v="36"/>
    <n v="1.77"/>
    <n v="44.25"/>
  </r>
  <r>
    <d v="2019-05-13T00:00:00"/>
    <x v="1"/>
    <s v="Los Angeles"/>
    <s v="Crackers"/>
    <x v="1"/>
    <x v="37"/>
    <n v="3.49"/>
    <n v="73.290000000000006"/>
  </r>
  <r>
    <d v="2019-05-16T00:00:00"/>
    <x v="0"/>
    <s v="New York"/>
    <s v="Bars"/>
    <x v="0"/>
    <x v="20"/>
    <n v="1.77"/>
    <n v="107.97"/>
  </r>
  <r>
    <d v="2019-05-19T00:00:00"/>
    <x v="0"/>
    <s v="New York"/>
    <s v="Snacks"/>
    <x v="4"/>
    <x v="38"/>
    <n v="1.68"/>
    <n v="82.32"/>
  </r>
  <r>
    <d v="2019-05-22T00:00:00"/>
    <x v="1"/>
    <s v="San Diego"/>
    <s v="Cookies"/>
    <x v="2"/>
    <x v="39"/>
    <n v="1.8699999999999999"/>
    <n v="102.85"/>
  </r>
  <r>
    <d v="2019-05-25T00:00:00"/>
    <x v="0"/>
    <s v="Boston"/>
    <s v="Cookies"/>
    <x v="3"/>
    <x v="14"/>
    <n v="2.1800000000000002"/>
    <n v="58.860000000000007"/>
  </r>
  <r>
    <d v="2019-05-28T00:00:00"/>
    <x v="0"/>
    <s v="Boston"/>
    <s v="Bars"/>
    <x v="0"/>
    <x v="2"/>
    <n v="1.77"/>
    <n v="102.66"/>
  </r>
  <r>
    <d v="2019-05-31T00:00:00"/>
    <x v="0"/>
    <s v="Boston"/>
    <s v="Crackers"/>
    <x v="1"/>
    <x v="0"/>
    <n v="3.49"/>
    <n v="115.17"/>
  </r>
  <r>
    <d v="2019-06-03T00:00:00"/>
    <x v="1"/>
    <s v="Los Angeles"/>
    <s v="Cookies"/>
    <x v="5"/>
    <x v="40"/>
    <n v="2.84"/>
    <n v="817.92"/>
  </r>
  <r>
    <d v="2019-06-06T00:00:00"/>
    <x v="0"/>
    <s v="New York"/>
    <s v="Cookies"/>
    <x v="2"/>
    <x v="41"/>
    <n v="1.87"/>
    <n v="142.12"/>
  </r>
  <r>
    <d v="2019-06-09T00:00:00"/>
    <x v="1"/>
    <s v="San Diego"/>
    <s v="Bars"/>
    <x v="0"/>
    <x v="17"/>
    <n v="1.77"/>
    <n v="74.34"/>
  </r>
  <r>
    <d v="2019-06-12T00:00:00"/>
    <x v="1"/>
    <s v="San Diego"/>
    <s v="Crackers"/>
    <x v="1"/>
    <x v="30"/>
    <n v="3.4899999999999998"/>
    <n v="69.8"/>
  </r>
  <r>
    <d v="2019-06-15T00:00:00"/>
    <x v="0"/>
    <s v="Boston"/>
    <s v="Bars"/>
    <x v="0"/>
    <x v="42"/>
    <n v="1.77"/>
    <n v="132.75"/>
  </r>
  <r>
    <d v="2019-06-18T00:00:00"/>
    <x v="0"/>
    <s v="Boston"/>
    <s v="Crackers"/>
    <x v="1"/>
    <x v="4"/>
    <n v="3.49"/>
    <n v="132.62"/>
  </r>
  <r>
    <d v="2019-06-21T00:00:00"/>
    <x v="1"/>
    <s v="Los Angeles"/>
    <s v="Bars"/>
    <x v="0"/>
    <x v="43"/>
    <n v="1.77"/>
    <n v="541.62"/>
  </r>
  <r>
    <d v="2019-06-24T00:00:00"/>
    <x v="1"/>
    <s v="Los Angeles"/>
    <s v="Snacks"/>
    <x v="4"/>
    <x v="9"/>
    <n v="1.68"/>
    <n v="47.04"/>
  </r>
  <r>
    <d v="2019-06-27T00:00:00"/>
    <x v="0"/>
    <s v="New York"/>
    <s v="Bars"/>
    <x v="6"/>
    <x v="44"/>
    <n v="1.8699999999999999"/>
    <n v="205.7"/>
  </r>
  <r>
    <d v="2019-06-30T00:00:00"/>
    <x v="0"/>
    <s v="New York"/>
    <s v="Cookies"/>
    <x v="5"/>
    <x v="7"/>
    <n v="2.84"/>
    <n v="144.84"/>
  </r>
  <r>
    <d v="2019-07-03T00:00:00"/>
    <x v="1"/>
    <s v="San Diego"/>
    <s v="Bars"/>
    <x v="0"/>
    <x v="45"/>
    <n v="1.77"/>
    <n v="92.04"/>
  </r>
  <r>
    <d v="2019-07-06T00:00:00"/>
    <x v="1"/>
    <s v="San Diego"/>
    <s v="Crackers"/>
    <x v="1"/>
    <x v="9"/>
    <n v="3.4899999999999998"/>
    <n v="97.72"/>
  </r>
  <r>
    <d v="2019-07-09T00:00:00"/>
    <x v="0"/>
    <s v="Boston"/>
    <s v="Bars"/>
    <x v="0"/>
    <x v="46"/>
    <n v="1.77"/>
    <n v="240.72"/>
  </r>
  <r>
    <d v="2019-07-12T00:00:00"/>
    <x v="0"/>
    <s v="Boston"/>
    <s v="Crackers"/>
    <x v="1"/>
    <x v="17"/>
    <n v="3.49"/>
    <n v="146.58000000000001"/>
  </r>
  <r>
    <d v="2019-07-15T00:00:00"/>
    <x v="1"/>
    <s v="Los Angeles"/>
    <s v="Cookies"/>
    <x v="2"/>
    <x v="42"/>
    <n v="1.87"/>
    <n v="140.25"/>
  </r>
  <r>
    <d v="2019-07-18T00:00:00"/>
    <x v="0"/>
    <s v="New York"/>
    <s v="Bars"/>
    <x v="6"/>
    <x v="47"/>
    <n v="1.8699999999999999"/>
    <n v="134.63999999999999"/>
  </r>
  <r>
    <d v="2019-07-21T00:00:00"/>
    <x v="0"/>
    <s v="New York"/>
    <s v="Cookies"/>
    <x v="5"/>
    <x v="48"/>
    <n v="2.84"/>
    <n v="159.04"/>
  </r>
  <r>
    <d v="2019-07-24T00:00:00"/>
    <x v="1"/>
    <s v="San Diego"/>
    <s v="Bars"/>
    <x v="6"/>
    <x v="7"/>
    <n v="1.87"/>
    <n v="95.37"/>
  </r>
  <r>
    <d v="2019-07-27T00:00:00"/>
    <x v="1"/>
    <s v="San Diego"/>
    <s v="Snacks"/>
    <x v="4"/>
    <x v="11"/>
    <n v="1.68"/>
    <n v="52.08"/>
  </r>
  <r>
    <d v="2019-07-30T00:00:00"/>
    <x v="0"/>
    <s v="Boston"/>
    <s v="Bars"/>
    <x v="6"/>
    <x v="48"/>
    <n v="1.8699999999999999"/>
    <n v="104.72"/>
  </r>
  <r>
    <d v="2019-08-02T00:00:00"/>
    <x v="0"/>
    <s v="Boston"/>
    <s v="Cookies"/>
    <x v="5"/>
    <x v="49"/>
    <n v="2.84"/>
    <n v="389.08"/>
  </r>
  <r>
    <d v="2019-08-05T00:00:00"/>
    <x v="1"/>
    <s v="Los Angeles"/>
    <s v="Cookies"/>
    <x v="2"/>
    <x v="50"/>
    <n v="1.87"/>
    <n v="200.09"/>
  </r>
  <r>
    <d v="2019-08-08T00:00:00"/>
    <x v="0"/>
    <s v="New York"/>
    <s v="Bars"/>
    <x v="0"/>
    <x v="51"/>
    <n v="1.7699999999999998"/>
    <n v="42.48"/>
  </r>
  <r>
    <d v="2019-08-11T00:00:00"/>
    <x v="0"/>
    <s v="New York"/>
    <s v="Crackers"/>
    <x v="1"/>
    <x v="19"/>
    <n v="3.49"/>
    <n v="104.7"/>
  </r>
  <r>
    <d v="2019-08-14T00:00:00"/>
    <x v="1"/>
    <s v="San Diego"/>
    <s v="Cookies"/>
    <x v="2"/>
    <x v="52"/>
    <n v="1.87"/>
    <n v="130.9"/>
  </r>
  <r>
    <d v="2019-08-17T00:00:00"/>
    <x v="0"/>
    <s v="Boston"/>
    <s v="Cookies"/>
    <x v="3"/>
    <x v="11"/>
    <n v="2.1800000000000002"/>
    <n v="67.58"/>
  </r>
  <r>
    <d v="2019-08-20T00:00:00"/>
    <x v="0"/>
    <s v="Boston"/>
    <s v="Bars"/>
    <x v="0"/>
    <x v="53"/>
    <n v="1.77"/>
    <n v="192.93"/>
  </r>
  <r>
    <d v="2019-08-23T00:00:00"/>
    <x v="0"/>
    <s v="Boston"/>
    <s v="Crackers"/>
    <x v="1"/>
    <x v="37"/>
    <n v="3.49"/>
    <n v="73.290000000000006"/>
  </r>
  <r>
    <d v="2019-08-26T00:00:00"/>
    <x v="1"/>
    <s v="Los Angeles"/>
    <s v="Cookies"/>
    <x v="2"/>
    <x v="54"/>
    <n v="1.8699999999999999"/>
    <n v="149.6"/>
  </r>
  <r>
    <d v="2019-08-29T00:00:00"/>
    <x v="0"/>
    <s v="New York"/>
    <s v="Bars"/>
    <x v="6"/>
    <x v="42"/>
    <n v="1.87"/>
    <n v="140.25"/>
  </r>
  <r>
    <d v="2019-09-01T00:00:00"/>
    <x v="0"/>
    <s v="New York"/>
    <s v="Cookies"/>
    <x v="5"/>
    <x v="55"/>
    <n v="2.84"/>
    <n v="210.16"/>
  </r>
  <r>
    <d v="2019-09-04T00:00:00"/>
    <x v="1"/>
    <s v="San Diego"/>
    <s v="Bars"/>
    <x v="0"/>
    <x v="56"/>
    <n v="1.77"/>
    <n v="79.650000000000006"/>
  </r>
  <r>
    <d v="2019-09-07T00:00:00"/>
    <x v="0"/>
    <s v="Boston"/>
    <s v="Cookies"/>
    <x v="3"/>
    <x v="9"/>
    <n v="2.1800000000000002"/>
    <n v="61.040000000000006"/>
  </r>
  <r>
    <d v="2019-09-10T00:00:00"/>
    <x v="0"/>
    <s v="Boston"/>
    <s v="Bars"/>
    <x v="0"/>
    <x v="57"/>
    <n v="1.77"/>
    <n v="253.11"/>
  </r>
  <r>
    <d v="2019-09-13T00:00:00"/>
    <x v="0"/>
    <s v="Boston"/>
    <s v="Snacks"/>
    <x v="7"/>
    <x v="14"/>
    <n v="3.15"/>
    <n v="85.05"/>
  </r>
  <r>
    <d v="2019-09-16T00:00:00"/>
    <x v="1"/>
    <s v="Los Angeles"/>
    <s v="Bars"/>
    <x v="0"/>
    <x v="58"/>
    <n v="1.77"/>
    <n v="235.41"/>
  </r>
  <r>
    <d v="2019-09-19T00:00:00"/>
    <x v="0"/>
    <s v="New York"/>
    <s v="Cookies"/>
    <x v="3"/>
    <x v="44"/>
    <n v="2.1800000000000002"/>
    <n v="239.8"/>
  </r>
  <r>
    <d v="2019-09-22T00:00:00"/>
    <x v="0"/>
    <s v="New York"/>
    <s v="Cookies"/>
    <x v="2"/>
    <x v="59"/>
    <n v="1.8699999999999999"/>
    <n v="121.55"/>
  </r>
  <r>
    <d v="2019-09-25T00:00:00"/>
    <x v="1"/>
    <s v="San Diego"/>
    <s v="Bars"/>
    <x v="6"/>
    <x v="0"/>
    <n v="1.87"/>
    <n v="61.71"/>
  </r>
  <r>
    <d v="2019-09-28T00:00:00"/>
    <x v="0"/>
    <s v="Boston"/>
    <s v="Cookies"/>
    <x v="3"/>
    <x v="60"/>
    <n v="2.1800000000000002"/>
    <n v="176.58"/>
  </r>
  <r>
    <d v="2019-10-01T00:00:00"/>
    <x v="0"/>
    <s v="Boston"/>
    <s v="Bars"/>
    <x v="0"/>
    <x v="61"/>
    <n v="1.7699999999999998"/>
    <n v="136.29"/>
  </r>
  <r>
    <d v="2019-10-04T00:00:00"/>
    <x v="0"/>
    <s v="Boston"/>
    <s v="Crackers"/>
    <x v="1"/>
    <x v="4"/>
    <n v="3.49"/>
    <n v="132.62"/>
  </r>
  <r>
    <d v="2019-10-07T00:00:00"/>
    <x v="1"/>
    <s v="Los Angeles"/>
    <s v="Bars"/>
    <x v="0"/>
    <x v="21"/>
    <n v="1.77"/>
    <n v="70.8"/>
  </r>
  <r>
    <d v="2019-10-10T00:00:00"/>
    <x v="1"/>
    <s v="Los Angeles"/>
    <s v="Snacks"/>
    <x v="4"/>
    <x v="62"/>
    <n v="1.6800000000000002"/>
    <n v="191.52"/>
  </r>
  <r>
    <d v="2019-10-13T00:00:00"/>
    <x v="0"/>
    <s v="New York"/>
    <s v="Cookies"/>
    <x v="3"/>
    <x v="63"/>
    <n v="2.1800000000000002"/>
    <n v="488.32000000000005"/>
  </r>
  <r>
    <d v="2019-10-16T00:00:00"/>
    <x v="0"/>
    <s v="New York"/>
    <s v="Bars"/>
    <x v="0"/>
    <x v="64"/>
    <n v="1.77"/>
    <n v="249.57"/>
  </r>
  <r>
    <d v="2019-10-19T00:00:00"/>
    <x v="0"/>
    <s v="New York"/>
    <s v="Crackers"/>
    <x v="1"/>
    <x v="65"/>
    <n v="3.49"/>
    <n v="111.68"/>
  </r>
  <r>
    <d v="2019-10-22T00:00:00"/>
    <x v="1"/>
    <s v="San Diego"/>
    <s v="Bars"/>
    <x v="0"/>
    <x v="30"/>
    <n v="1.77"/>
    <n v="35.4"/>
  </r>
  <r>
    <d v="2019-10-25T00:00:00"/>
    <x v="0"/>
    <s v="Boston"/>
    <s v="Cookies"/>
    <x v="3"/>
    <x v="21"/>
    <n v="2.1800000000000002"/>
    <n v="87.2"/>
  </r>
  <r>
    <d v="2019-10-28T00:00:00"/>
    <x v="0"/>
    <s v="Boston"/>
    <s v="Cookies"/>
    <x v="2"/>
    <x v="38"/>
    <n v="1.8699999999999999"/>
    <n v="91.63"/>
  </r>
  <r>
    <d v="2019-10-31T00:00:00"/>
    <x v="0"/>
    <s v="Boston"/>
    <s v="Crackers"/>
    <x v="1"/>
    <x v="66"/>
    <n v="3.4899999999999998"/>
    <n v="160.54"/>
  </r>
  <r>
    <d v="2019-11-03T00:00:00"/>
    <x v="1"/>
    <s v="Los Angeles"/>
    <s v="Bars"/>
    <x v="0"/>
    <x v="24"/>
    <n v="1.77"/>
    <n v="69.03"/>
  </r>
  <r>
    <d v="2019-11-06T00:00:00"/>
    <x v="1"/>
    <s v="Los Angeles"/>
    <s v="Snacks"/>
    <x v="4"/>
    <x v="67"/>
    <n v="1.68"/>
    <n v="104.16"/>
  </r>
  <r>
    <d v="2019-11-09T00:00:00"/>
    <x v="0"/>
    <s v="New York"/>
    <s v="Bars"/>
    <x v="0"/>
    <x v="68"/>
    <n v="1.77"/>
    <n v="159.30000000000001"/>
  </r>
  <r>
    <d v="2019-11-12T00:00:00"/>
    <x v="1"/>
    <s v="San Diego"/>
    <s v="Cookies"/>
    <x v="3"/>
    <x v="25"/>
    <n v="2.1799999999999997"/>
    <n v="224.53999999999996"/>
  </r>
  <r>
    <d v="2019-11-15T00:00:00"/>
    <x v="1"/>
    <s v="San Diego"/>
    <s v="Cookies"/>
    <x v="5"/>
    <x v="65"/>
    <n v="2.84"/>
    <n v="90.88"/>
  </r>
  <r>
    <d v="2019-11-18T00:00:00"/>
    <x v="0"/>
    <s v="Boston"/>
    <s v="Bars"/>
    <x v="6"/>
    <x v="69"/>
    <n v="1.87"/>
    <n v="123.42"/>
  </r>
  <r>
    <d v="2019-11-21T00:00:00"/>
    <x v="0"/>
    <s v="Boston"/>
    <s v="Cookies"/>
    <x v="5"/>
    <x v="70"/>
    <n v="2.8400000000000003"/>
    <n v="275.48"/>
  </r>
  <r>
    <d v="2019-11-24T00:00:00"/>
    <x v="1"/>
    <s v="Los Angeles"/>
    <s v="Bars"/>
    <x v="0"/>
    <x v="19"/>
    <n v="1.77"/>
    <n v="53.1"/>
  </r>
  <r>
    <d v="2019-11-27T00:00:00"/>
    <x v="1"/>
    <s v="Los Angeles"/>
    <s v="Snacks"/>
    <x v="4"/>
    <x v="71"/>
    <n v="1.68"/>
    <n v="48.72"/>
  </r>
  <r>
    <d v="2019-11-30T00:00:00"/>
    <x v="0"/>
    <s v="New York"/>
    <s v="Bars"/>
    <x v="0"/>
    <x v="72"/>
    <n v="1.77"/>
    <n v="162.84"/>
  </r>
  <r>
    <d v="2019-12-03T00:00:00"/>
    <x v="1"/>
    <s v="San Diego"/>
    <s v="Cookies"/>
    <x v="3"/>
    <x v="73"/>
    <n v="2.1799999999999997"/>
    <n v="303.02"/>
  </r>
  <r>
    <d v="2019-12-06T00:00:00"/>
    <x v="1"/>
    <s v="San Diego"/>
    <s v="Cookies"/>
    <x v="5"/>
    <x v="71"/>
    <n v="2.84"/>
    <n v="82.36"/>
  </r>
  <r>
    <d v="2019-12-09T00:00:00"/>
    <x v="0"/>
    <s v="Boston"/>
    <s v="Bars"/>
    <x v="8"/>
    <x v="19"/>
    <n v="2.27"/>
    <n v="68.099999999999994"/>
  </r>
  <r>
    <d v="2019-12-12T00:00:00"/>
    <x v="0"/>
    <s v="Boston"/>
    <s v="Cookies"/>
    <x v="2"/>
    <x v="10"/>
    <n v="1.8699999999999999"/>
    <n v="67.319999999999993"/>
  </r>
  <r>
    <d v="2019-12-15T00:00:00"/>
    <x v="0"/>
    <s v="Boston"/>
    <s v="Crackers"/>
    <x v="1"/>
    <x v="74"/>
    <n v="3.49"/>
    <n v="143.09"/>
  </r>
  <r>
    <d v="2019-12-18T00:00:00"/>
    <x v="1"/>
    <s v="Los Angeles"/>
    <s v="Bars"/>
    <x v="0"/>
    <x v="12"/>
    <n v="1.7699999999999998"/>
    <n v="77.88"/>
  </r>
  <r>
    <d v="2019-12-21T00:00:00"/>
    <x v="1"/>
    <s v="Los Angeles"/>
    <s v="Snacks"/>
    <x v="4"/>
    <x v="71"/>
    <n v="1.68"/>
    <n v="48.72"/>
  </r>
  <r>
    <d v="2019-12-24T00:00:00"/>
    <x v="0"/>
    <s v="New York"/>
    <s v="Cookies"/>
    <x v="3"/>
    <x v="75"/>
    <n v="2.1799999999999997"/>
    <n v="516.66"/>
  </r>
  <r>
    <d v="2019-12-27T00:00:00"/>
    <x v="0"/>
    <s v="New York"/>
    <s v="Cookies"/>
    <x v="2"/>
    <x v="59"/>
    <n v="1.8699999999999999"/>
    <n v="121.55"/>
  </r>
  <r>
    <d v="2019-12-30T00:00:00"/>
    <x v="1"/>
    <s v="San Diego"/>
    <s v="Cookies"/>
    <x v="3"/>
    <x v="76"/>
    <n v="2.1800000000000002"/>
    <n v="180.94000000000003"/>
  </r>
  <r>
    <d v="2020-01-02T00:00:00"/>
    <x v="0"/>
    <s v="Boston"/>
    <s v="Cookies"/>
    <x v="3"/>
    <x v="65"/>
    <n v="2.1800000000000002"/>
    <n v="69.760000000000005"/>
  </r>
  <r>
    <d v="2020-01-05T00:00:00"/>
    <x v="0"/>
    <s v="Boston"/>
    <s v="Bars"/>
    <x v="0"/>
    <x v="33"/>
    <n v="1.77"/>
    <n v="111.51"/>
  </r>
  <r>
    <d v="2020-01-08T00:00:00"/>
    <x v="0"/>
    <s v="Boston"/>
    <s v="Snacks"/>
    <x v="7"/>
    <x v="71"/>
    <n v="3.15"/>
    <n v="91.35"/>
  </r>
  <r>
    <d v="2020-01-11T00:00:00"/>
    <x v="1"/>
    <s v="Los Angeles"/>
    <s v="Bars"/>
    <x v="6"/>
    <x v="61"/>
    <n v="1.87"/>
    <n v="143.99"/>
  </r>
  <r>
    <d v="2020-01-14T00:00:00"/>
    <x v="1"/>
    <s v="Los Angeles"/>
    <s v="Cookies"/>
    <x v="5"/>
    <x v="54"/>
    <n v="2.84"/>
    <n v="227.2"/>
  </r>
  <r>
    <d v="2020-01-17T00:00:00"/>
    <x v="0"/>
    <s v="New York"/>
    <s v="Bars"/>
    <x v="0"/>
    <x v="77"/>
    <n v="1.77"/>
    <n v="180.54"/>
  </r>
  <r>
    <d v="2020-01-20T00:00:00"/>
    <x v="0"/>
    <s v="New York"/>
    <s v="Crackers"/>
    <x v="1"/>
    <x v="11"/>
    <n v="3.4899999999999998"/>
    <n v="108.19"/>
  </r>
  <r>
    <d v="2020-01-23T00:00:00"/>
    <x v="1"/>
    <s v="San Diego"/>
    <s v="Bars"/>
    <x v="0"/>
    <x v="48"/>
    <n v="1.77"/>
    <n v="99.12"/>
  </r>
  <r>
    <d v="2020-01-26T00:00:00"/>
    <x v="0"/>
    <s v="Boston"/>
    <s v="Cookies"/>
    <x v="3"/>
    <x v="45"/>
    <n v="2.1800000000000002"/>
    <n v="113.36000000000001"/>
  </r>
  <r>
    <d v="2020-01-29T00:00:00"/>
    <x v="0"/>
    <s v="Boston"/>
    <s v="Bars"/>
    <x v="0"/>
    <x v="7"/>
    <n v="1.77"/>
    <n v="90.27"/>
  </r>
  <r>
    <d v="2020-02-01T00:00:00"/>
    <x v="0"/>
    <s v="Boston"/>
    <s v="Snacks"/>
    <x v="4"/>
    <x v="51"/>
    <n v="1.68"/>
    <n v="40.32"/>
  </r>
  <r>
    <d v="2020-02-04T00:00:00"/>
    <x v="1"/>
    <s v="Los Angeles"/>
    <s v="Cookies"/>
    <x v="3"/>
    <x v="2"/>
    <n v="2.1800000000000002"/>
    <n v="126.44000000000001"/>
  </r>
  <r>
    <d v="2020-02-07T00:00:00"/>
    <x v="1"/>
    <s v="Los Angeles"/>
    <s v="Cookies"/>
    <x v="2"/>
    <x v="78"/>
    <n v="1.8699999999999999"/>
    <n v="63.58"/>
  </r>
  <r>
    <d v="2020-02-10T00:00:00"/>
    <x v="0"/>
    <s v="New York"/>
    <s v="Bars"/>
    <x v="0"/>
    <x v="78"/>
    <n v="1.77"/>
    <n v="60.18"/>
  </r>
  <r>
    <d v="2020-02-13T00:00:00"/>
    <x v="0"/>
    <s v="New York"/>
    <s v="Snacks"/>
    <x v="4"/>
    <x v="37"/>
    <n v="1.6800000000000002"/>
    <n v="35.28"/>
  </r>
  <r>
    <d v="2020-02-16T00:00:00"/>
    <x v="1"/>
    <s v="San Diego"/>
    <s v="Cookies"/>
    <x v="5"/>
    <x v="71"/>
    <n v="2.84"/>
    <n v="82.36"/>
  </r>
  <r>
    <d v="2020-02-19T00:00:00"/>
    <x v="0"/>
    <s v="Boston"/>
    <s v="Bars"/>
    <x v="0"/>
    <x v="23"/>
    <n v="1.77"/>
    <n v="120.36"/>
  </r>
  <r>
    <d v="2020-02-22T00:00:00"/>
    <x v="0"/>
    <s v="Boston"/>
    <s v="Snacks"/>
    <x v="7"/>
    <x v="11"/>
    <n v="3.1500000000000004"/>
    <n v="97.65"/>
  </r>
  <r>
    <d v="2020-02-25T00:00:00"/>
    <x v="1"/>
    <s v="Los Angeles"/>
    <s v="Cookies"/>
    <x v="3"/>
    <x v="19"/>
    <n v="2.1800000000000002"/>
    <n v="65.400000000000006"/>
  </r>
  <r>
    <d v="2020-02-28T00:00:00"/>
    <x v="1"/>
    <s v="Los Angeles"/>
    <s v="Cookies"/>
    <x v="2"/>
    <x v="79"/>
    <n v="1.8699999999999999"/>
    <n v="433.84"/>
  </r>
  <r>
    <d v="2020-03-02T00:00:00"/>
    <x v="0"/>
    <s v="New York"/>
    <s v="Bars"/>
    <x v="6"/>
    <x v="23"/>
    <n v="1.8699999999999999"/>
    <n v="127.16"/>
  </r>
  <r>
    <d v="2020-03-05T00:00:00"/>
    <x v="0"/>
    <s v="New York"/>
    <s v="Cookies"/>
    <x v="5"/>
    <x v="70"/>
    <n v="2.8400000000000003"/>
    <n v="275.48"/>
  </r>
  <r>
    <d v="2020-03-08T00:00:00"/>
    <x v="1"/>
    <s v="San Diego"/>
    <s v="Bars"/>
    <x v="6"/>
    <x v="22"/>
    <n v="1.8699999999999999"/>
    <n v="160.82"/>
  </r>
  <r>
    <d v="2020-03-11T00:00:00"/>
    <x v="1"/>
    <s v="San Diego"/>
    <s v="Snacks"/>
    <x v="4"/>
    <x v="74"/>
    <n v="1.68"/>
    <n v="68.88"/>
  </r>
  <r>
    <d v="2020-03-14T00:00:00"/>
    <x v="0"/>
    <s v="Boston"/>
    <s v="Bars"/>
    <x v="0"/>
    <x v="80"/>
    <n v="1.7700000000000002"/>
    <n v="164.61"/>
  </r>
  <r>
    <d v="2020-03-17T00:00:00"/>
    <x v="0"/>
    <s v="Boston"/>
    <s v="Snacks"/>
    <x v="4"/>
    <x v="81"/>
    <n v="1.68"/>
    <n v="78.959999999999994"/>
  </r>
  <r>
    <d v="2020-03-20T00:00:00"/>
    <x v="1"/>
    <s v="Los Angeles"/>
    <s v="Bars"/>
    <x v="0"/>
    <x v="25"/>
    <n v="1.77"/>
    <n v="182.31"/>
  </r>
  <r>
    <d v="2020-03-23T00:00:00"/>
    <x v="1"/>
    <s v="Los Angeles"/>
    <s v="Snacks"/>
    <x v="4"/>
    <x v="0"/>
    <n v="1.68"/>
    <n v="55.44"/>
  </r>
  <r>
    <d v="2020-03-26T00:00:00"/>
    <x v="0"/>
    <s v="New York"/>
    <s v="Bars"/>
    <x v="6"/>
    <x v="82"/>
    <n v="1.87"/>
    <n v="106.59"/>
  </r>
  <r>
    <d v="2020-03-29T00:00:00"/>
    <x v="0"/>
    <s v="New York"/>
    <s v="Cookies"/>
    <x v="5"/>
    <x v="59"/>
    <n v="2.84"/>
    <n v="184.6"/>
  </r>
  <r>
    <d v="2020-04-01T00:00:00"/>
    <x v="1"/>
    <s v="San Diego"/>
    <s v="Bars"/>
    <x v="0"/>
    <x v="83"/>
    <n v="1.77"/>
    <n v="208.86"/>
  </r>
  <r>
    <d v="2020-04-04T00:00:00"/>
    <x v="0"/>
    <s v="Boston"/>
    <s v="Cookies"/>
    <x v="3"/>
    <x v="10"/>
    <n v="2.1800000000000002"/>
    <n v="78.48"/>
  </r>
  <r>
    <d v="2020-04-07T00:00:00"/>
    <x v="0"/>
    <s v="Boston"/>
    <s v="Cookies"/>
    <x v="5"/>
    <x v="16"/>
    <n v="2.84"/>
    <n v="349.32"/>
  </r>
  <r>
    <d v="2020-04-10T00:00:00"/>
    <x v="1"/>
    <s v="Los Angeles"/>
    <s v="Bars"/>
    <x v="0"/>
    <x v="68"/>
    <n v="1.77"/>
    <n v="159.30000000000001"/>
  </r>
  <r>
    <d v="2020-04-13T00:00:00"/>
    <x v="1"/>
    <s v="Los Angeles"/>
    <s v="Crackers"/>
    <x v="1"/>
    <x v="37"/>
    <n v="3.49"/>
    <n v="73.290000000000006"/>
  </r>
  <r>
    <d v="2020-04-16T00:00:00"/>
    <x v="0"/>
    <s v="New York"/>
    <s v="Bars"/>
    <x v="0"/>
    <x v="28"/>
    <n v="1.7699999999999998"/>
    <n v="84.96"/>
  </r>
  <r>
    <d v="2020-04-19T00:00:00"/>
    <x v="0"/>
    <s v="New York"/>
    <s v="Snacks"/>
    <x v="4"/>
    <x v="51"/>
    <n v="1.68"/>
    <n v="40.32"/>
  </r>
  <r>
    <d v="2020-04-22T00:00:00"/>
    <x v="1"/>
    <s v="San Diego"/>
    <s v="Cookies"/>
    <x v="2"/>
    <x v="84"/>
    <n v="1.87"/>
    <n v="125.29"/>
  </r>
  <r>
    <d v="2020-04-25T00:00:00"/>
    <x v="0"/>
    <s v="Boston"/>
    <s v="Bars"/>
    <x v="6"/>
    <x v="14"/>
    <n v="1.87"/>
    <n v="50.49"/>
  </r>
  <r>
    <d v="2020-04-28T00:00:00"/>
    <x v="0"/>
    <s v="Boston"/>
    <s v="Cookies"/>
    <x v="5"/>
    <x v="85"/>
    <n v="2.8400000000000003"/>
    <n v="366.36"/>
  </r>
  <r>
    <d v="2020-05-01T00:00:00"/>
    <x v="1"/>
    <s v="Los Angeles"/>
    <s v="Cookies"/>
    <x v="3"/>
    <x v="61"/>
    <n v="2.1800000000000002"/>
    <n v="167.86"/>
  </r>
  <r>
    <d v="2020-05-04T00:00:00"/>
    <x v="1"/>
    <s v="Los Angeles"/>
    <s v="Cookies"/>
    <x v="2"/>
    <x v="2"/>
    <n v="1.8699999999999999"/>
    <n v="108.46"/>
  </r>
  <r>
    <d v="2020-05-07T00:00:00"/>
    <x v="0"/>
    <s v="New York"/>
    <s v="Bars"/>
    <x v="6"/>
    <x v="81"/>
    <n v="1.87"/>
    <n v="87.89"/>
  </r>
  <r>
    <d v="2020-05-10T00:00:00"/>
    <x v="0"/>
    <s v="New York"/>
    <s v="Cookies"/>
    <x v="5"/>
    <x v="0"/>
    <n v="2.84"/>
    <n v="93.72"/>
  </r>
  <r>
    <d v="2020-05-13T00:00:00"/>
    <x v="1"/>
    <s v="San Diego"/>
    <s v="Cookies"/>
    <x v="2"/>
    <x v="3"/>
    <n v="1.87"/>
    <n v="153.34"/>
  </r>
  <r>
    <d v="2020-05-16T00:00:00"/>
    <x v="0"/>
    <s v="Boston"/>
    <s v="Bars"/>
    <x v="0"/>
    <x v="2"/>
    <n v="1.77"/>
    <n v="102.66"/>
  </r>
  <r>
    <d v="2020-05-19T00:00:00"/>
    <x v="0"/>
    <s v="Boston"/>
    <s v="Snacks"/>
    <x v="7"/>
    <x v="19"/>
    <n v="3.15"/>
    <n v="94.5"/>
  </r>
  <r>
    <d v="2020-05-22T00:00:00"/>
    <x v="1"/>
    <s v="Los Angeles"/>
    <s v="Cookies"/>
    <x v="2"/>
    <x v="15"/>
    <n v="1.8699999999999999"/>
    <n v="80.41"/>
  </r>
  <r>
    <d v="2020-05-25T00:00:00"/>
    <x v="0"/>
    <s v="New York"/>
    <s v="Bars"/>
    <x v="0"/>
    <x v="86"/>
    <n v="1.77"/>
    <n v="148.68"/>
  </r>
  <r>
    <d v="2020-05-28T00:00:00"/>
    <x v="1"/>
    <s v="San Diego"/>
    <s v="Cookies"/>
    <x v="3"/>
    <x v="10"/>
    <n v="2.1800000000000002"/>
    <n v="78.48"/>
  </r>
  <r>
    <d v="2020-05-31T00:00:00"/>
    <x v="1"/>
    <s v="San Diego"/>
    <s v="Cookies"/>
    <x v="5"/>
    <x v="12"/>
    <n v="2.84"/>
    <n v="124.96"/>
  </r>
  <r>
    <d v="2020-06-03T00:00:00"/>
    <x v="0"/>
    <s v="Boston"/>
    <s v="Bars"/>
    <x v="6"/>
    <x v="14"/>
    <n v="1.87"/>
    <n v="50.49"/>
  </r>
  <r>
    <d v="2020-06-06T00:00:00"/>
    <x v="0"/>
    <s v="Boston"/>
    <s v="Cookies"/>
    <x v="5"/>
    <x v="87"/>
    <n v="2.8400000000000003"/>
    <n v="340.8"/>
  </r>
  <r>
    <d v="2020-06-09T00:00:00"/>
    <x v="0"/>
    <s v="Boston"/>
    <s v="Crackers"/>
    <x v="1"/>
    <x v="88"/>
    <n v="3.4899999999999998"/>
    <n v="90.74"/>
  </r>
  <r>
    <d v="2020-06-12T00:00:00"/>
    <x v="1"/>
    <s v="Los Angeles"/>
    <s v="Bars"/>
    <x v="0"/>
    <x v="89"/>
    <n v="1.77"/>
    <n v="129.21"/>
  </r>
  <r>
    <d v="2020-06-15T00:00:00"/>
    <x v="0"/>
    <s v="New York"/>
    <s v="Bars"/>
    <x v="6"/>
    <x v="4"/>
    <n v="1.87"/>
    <n v="71.06"/>
  </r>
  <r>
    <d v="2020-06-18T00:00:00"/>
    <x v="0"/>
    <s v="New York"/>
    <s v="Cookies"/>
    <x v="5"/>
    <x v="21"/>
    <n v="2.84"/>
    <n v="113.6"/>
  </r>
  <r>
    <d v="2020-06-21T00:00:00"/>
    <x v="1"/>
    <s v="San Diego"/>
    <s v="Bars"/>
    <x v="0"/>
    <x v="74"/>
    <n v="1.7699999999999998"/>
    <n v="72.569999999999993"/>
  </r>
  <r>
    <d v="2020-06-24T00:00:00"/>
    <x v="0"/>
    <s v="Boston"/>
    <s v="Bars"/>
    <x v="8"/>
    <x v="14"/>
    <n v="2.27"/>
    <n v="61.29"/>
  </r>
  <r>
    <d v="2020-06-27T00:00:00"/>
    <x v="0"/>
    <s v="Boston"/>
    <s v="Cookies"/>
    <x v="2"/>
    <x v="4"/>
    <n v="1.87"/>
    <n v="71.06"/>
  </r>
  <r>
    <d v="2020-06-30T00:00:00"/>
    <x v="0"/>
    <s v="Boston"/>
    <s v="Crackers"/>
    <x v="1"/>
    <x v="78"/>
    <n v="3.4899999999999998"/>
    <n v="118.66"/>
  </r>
  <r>
    <d v="2020-07-03T00:00:00"/>
    <x v="1"/>
    <s v="Los Angeles"/>
    <s v="Bars"/>
    <x v="6"/>
    <x v="59"/>
    <n v="1.8699999999999999"/>
    <n v="121.55"/>
  </r>
  <r>
    <d v="2020-07-06T00:00:00"/>
    <x v="1"/>
    <s v="Los Angeles"/>
    <s v="Cookies"/>
    <x v="5"/>
    <x v="90"/>
    <n v="2.8400000000000003"/>
    <n v="170.4"/>
  </r>
  <r>
    <d v="2020-07-09T00:00:00"/>
    <x v="0"/>
    <s v="New York"/>
    <s v="Cookies"/>
    <x v="3"/>
    <x v="91"/>
    <n v="2.1799999999999997"/>
    <n v="80.66"/>
  </r>
  <r>
    <d v="2020-07-12T00:00:00"/>
    <x v="0"/>
    <s v="New York"/>
    <s v="Cookies"/>
    <x v="2"/>
    <x v="21"/>
    <n v="1.8699999999999999"/>
    <n v="74.8"/>
  </r>
  <r>
    <d v="2020-07-15T00:00:00"/>
    <x v="1"/>
    <s v="San Diego"/>
    <s v="Bars"/>
    <x v="6"/>
    <x v="88"/>
    <n v="1.8699999999999999"/>
    <n v="48.62"/>
  </r>
  <r>
    <d v="2020-07-18T00:00:00"/>
    <x v="0"/>
    <s v="Boston"/>
    <s v="Bars"/>
    <x v="8"/>
    <x v="92"/>
    <n v="2.27"/>
    <n v="49.94"/>
  </r>
  <r>
    <d v="2020-07-21T00:00:00"/>
    <x v="0"/>
    <s v="Boston"/>
    <s v="Cookies"/>
    <x v="2"/>
    <x v="65"/>
    <n v="1.87"/>
    <n v="59.84"/>
  </r>
  <r>
    <d v="2020-07-24T00:00:00"/>
    <x v="0"/>
    <s v="Boston"/>
    <s v="Crackers"/>
    <x v="1"/>
    <x v="13"/>
    <n v="3.4899999999999998"/>
    <n v="80.27"/>
  </r>
  <r>
    <d v="2020-07-27T00:00:00"/>
    <x v="1"/>
    <s v="Los Angeles"/>
    <s v="Cookies"/>
    <x v="3"/>
    <x v="30"/>
    <n v="2.1800000000000002"/>
    <n v="43.6"/>
  </r>
  <r>
    <d v="2020-07-30T00:00:00"/>
    <x v="1"/>
    <s v="Los Angeles"/>
    <s v="Cookies"/>
    <x v="2"/>
    <x v="32"/>
    <n v="1.87"/>
    <n v="119.68"/>
  </r>
  <r>
    <d v="2020-08-02T00:00:00"/>
    <x v="0"/>
    <s v="New York"/>
    <s v="Bars"/>
    <x v="0"/>
    <x v="93"/>
    <n v="1.77"/>
    <n v="125.67"/>
  </r>
  <r>
    <d v="2020-08-05T00:00:00"/>
    <x v="1"/>
    <s v="San Diego"/>
    <s v="Cookies"/>
    <x v="3"/>
    <x v="68"/>
    <n v="2.1799999999999997"/>
    <n v="196.2"/>
  </r>
  <r>
    <d v="2020-08-08T00:00:00"/>
    <x v="1"/>
    <s v="San Diego"/>
    <s v="Cookies"/>
    <x v="5"/>
    <x v="4"/>
    <n v="2.84"/>
    <n v="107.91999999999999"/>
  </r>
  <r>
    <d v="2020-08-11T00:00:00"/>
    <x v="0"/>
    <s v="Boston"/>
    <s v="Bars"/>
    <x v="0"/>
    <x v="39"/>
    <n v="1.7699999999999998"/>
    <n v="97.35"/>
  </r>
  <r>
    <d v="2020-08-14T00:00:00"/>
    <x v="0"/>
    <s v="Boston"/>
    <s v="Snacks"/>
    <x v="7"/>
    <x v="92"/>
    <n v="3.15"/>
    <n v="69.3"/>
  </r>
  <r>
    <d v="2020-08-17T00:00:00"/>
    <x v="1"/>
    <s v="Los Angeles"/>
    <s v="Bars"/>
    <x v="0"/>
    <x v="78"/>
    <n v="1.77"/>
    <n v="60.18"/>
  </r>
  <r>
    <d v="2020-08-20T00:00:00"/>
    <x v="0"/>
    <s v="New York"/>
    <s v="Bars"/>
    <x v="6"/>
    <x v="24"/>
    <n v="1.87"/>
    <n v="72.930000000000007"/>
  </r>
  <r>
    <d v="2020-08-23T00:00:00"/>
    <x v="0"/>
    <s v="New York"/>
    <s v="Cookies"/>
    <x v="5"/>
    <x v="74"/>
    <n v="2.84"/>
    <n v="116.44"/>
  </r>
  <r>
    <d v="2020-08-26T00:00:00"/>
    <x v="1"/>
    <s v="San Diego"/>
    <s v="Bars"/>
    <x v="0"/>
    <x v="74"/>
    <n v="1.7699999999999998"/>
    <n v="72.569999999999993"/>
  </r>
  <r>
    <d v="2020-08-29T00:00:00"/>
    <x v="0"/>
    <s v="Boston"/>
    <s v="Cookies"/>
    <x v="3"/>
    <x v="46"/>
    <n v="2.1800000000000002"/>
    <n v="296.48"/>
  </r>
  <r>
    <d v="2020-09-01T00:00:00"/>
    <x v="0"/>
    <s v="Boston"/>
    <s v="Bars"/>
    <x v="0"/>
    <x v="36"/>
    <n v="1.77"/>
    <n v="44.25"/>
  </r>
  <r>
    <d v="2020-09-04T00:00:00"/>
    <x v="0"/>
    <s v="Boston"/>
    <s v="Snacks"/>
    <x v="7"/>
    <x v="88"/>
    <n v="3.1500000000000004"/>
    <n v="81.900000000000006"/>
  </r>
  <r>
    <d v="2020-09-07T00:00:00"/>
    <x v="1"/>
    <s v="Los Angeles"/>
    <s v="Bars"/>
    <x v="6"/>
    <x v="94"/>
    <n v="1.87"/>
    <n v="93.5"/>
  </r>
  <r>
    <d v="2020-09-10T00:00:00"/>
    <x v="1"/>
    <s v="Los Angeles"/>
    <s v="Cookies"/>
    <x v="5"/>
    <x v="95"/>
    <n v="2.8400000000000003"/>
    <n v="224.36"/>
  </r>
  <r>
    <d v="2020-09-13T00:00:00"/>
    <x v="0"/>
    <s v="New York"/>
    <s v="Bars"/>
    <x v="0"/>
    <x v="19"/>
    <n v="1.77"/>
    <n v="53.1"/>
  </r>
  <r>
    <d v="2020-09-16T00:00:00"/>
    <x v="0"/>
    <s v="New York"/>
    <s v="Snacks"/>
    <x v="4"/>
    <x v="30"/>
    <n v="1.6800000000000002"/>
    <n v="33.6"/>
  </r>
  <r>
    <d v="2020-09-19T00:00:00"/>
    <x v="1"/>
    <s v="San Diego"/>
    <s v="Bars"/>
    <x v="0"/>
    <x v="38"/>
    <n v="1.77"/>
    <n v="86.73"/>
  </r>
  <r>
    <d v="2020-09-22T00:00:00"/>
    <x v="0"/>
    <s v="Boston"/>
    <s v="Cookies"/>
    <x v="3"/>
    <x v="21"/>
    <n v="2.1800000000000002"/>
    <n v="87.2"/>
  </r>
  <r>
    <d v="2020-09-25T00:00:00"/>
    <x v="0"/>
    <s v="Boston"/>
    <s v="Bars"/>
    <x v="0"/>
    <x v="11"/>
    <n v="1.77"/>
    <n v="54.87"/>
  </r>
  <r>
    <d v="2020-09-28T00:00:00"/>
    <x v="0"/>
    <s v="Boston"/>
    <s v="Snacks"/>
    <x v="7"/>
    <x v="37"/>
    <n v="3.1500000000000004"/>
    <n v="66.150000000000006"/>
  </r>
  <r>
    <d v="2020-10-01T00:00:00"/>
    <x v="1"/>
    <s v="Los Angeles"/>
    <s v="Bars"/>
    <x v="6"/>
    <x v="15"/>
    <n v="1.8699999999999999"/>
    <n v="80.41"/>
  </r>
  <r>
    <d v="2020-10-04T00:00:00"/>
    <x v="1"/>
    <s v="Los Angeles"/>
    <s v="Cookies"/>
    <x v="5"/>
    <x v="81"/>
    <n v="2.84"/>
    <n v="133.47999999999999"/>
  </r>
  <r>
    <d v="2020-10-07T00:00:00"/>
    <x v="0"/>
    <s v="New York"/>
    <s v="Cookies"/>
    <x v="3"/>
    <x v="96"/>
    <n v="2.1800000000000002"/>
    <n v="381.5"/>
  </r>
  <r>
    <d v="2020-10-10T00:00:00"/>
    <x v="0"/>
    <s v="New York"/>
    <s v="Cookies"/>
    <x v="2"/>
    <x v="13"/>
    <n v="1.8699999999999999"/>
    <n v="43.01"/>
  </r>
  <r>
    <d v="2020-10-13T00:00:00"/>
    <x v="1"/>
    <s v="San Diego"/>
    <s v="Bars"/>
    <x v="0"/>
    <x v="21"/>
    <n v="1.77"/>
    <n v="70.8"/>
  </r>
  <r>
    <d v="2020-10-16T00:00:00"/>
    <x v="0"/>
    <s v="Boston"/>
    <s v="Cookies"/>
    <x v="3"/>
    <x v="1"/>
    <n v="2.1800000000000002"/>
    <n v="189.66000000000003"/>
  </r>
  <r>
    <d v="2020-10-19T00:00:00"/>
    <x v="0"/>
    <s v="Boston"/>
    <s v="Bars"/>
    <x v="0"/>
    <x v="15"/>
    <n v="1.77"/>
    <n v="76.11"/>
  </r>
  <r>
    <d v="2020-10-22T00:00:00"/>
    <x v="0"/>
    <s v="Boston"/>
    <s v="Crackers"/>
    <x v="1"/>
    <x v="19"/>
    <n v="3.49"/>
    <n v="104.7"/>
  </r>
  <r>
    <d v="2020-10-25T00:00:00"/>
    <x v="1"/>
    <s v="Los Angeles"/>
    <s v="Bars"/>
    <x v="0"/>
    <x v="97"/>
    <n v="1.77"/>
    <n v="61.95"/>
  </r>
  <r>
    <d v="2020-10-28T00:00:00"/>
    <x v="0"/>
    <s v="New York"/>
    <s v="Bars"/>
    <x v="6"/>
    <x v="82"/>
    <n v="1.87"/>
    <n v="106.59"/>
  </r>
  <r>
    <d v="2020-10-31T00:00:00"/>
    <x v="0"/>
    <s v="New York"/>
    <s v="Snacks"/>
    <x v="4"/>
    <x v="36"/>
    <n v="1.68"/>
    <n v="42"/>
  </r>
  <r>
    <d v="2020-11-03T00:00:00"/>
    <x v="1"/>
    <s v="San Diego"/>
    <s v="Cookies"/>
    <x v="2"/>
    <x v="51"/>
    <n v="1.87"/>
    <n v="44.88"/>
  </r>
  <r>
    <d v="2020-11-06T00:00:00"/>
    <x v="0"/>
    <s v="Boston"/>
    <s v="Bars"/>
    <x v="6"/>
    <x v="76"/>
    <n v="1.87"/>
    <n v="155.21"/>
  </r>
  <r>
    <d v="2020-11-09T00:00:00"/>
    <x v="0"/>
    <s v="Boston"/>
    <s v="Cookies"/>
    <x v="5"/>
    <x v="98"/>
    <n v="2.8400000000000003"/>
    <n v="352.16"/>
  </r>
  <r>
    <d v="2020-11-12T00:00:00"/>
    <x v="1"/>
    <s v="Los Angeles"/>
    <s v="Bars"/>
    <x v="0"/>
    <x v="49"/>
    <n v="1.77"/>
    <n v="242.49"/>
  </r>
  <r>
    <d v="2020-11-15T00:00:00"/>
    <x v="0"/>
    <s v="New York"/>
    <s v="Cookies"/>
    <x v="3"/>
    <x v="99"/>
    <n v="2.1799999999999997"/>
    <n v="318.27999999999997"/>
  </r>
  <r>
    <d v="2020-11-18T00:00:00"/>
    <x v="0"/>
    <s v="New York"/>
    <s v="Cookies"/>
    <x v="2"/>
    <x v="78"/>
    <n v="1.8699999999999999"/>
    <n v="63.58"/>
  </r>
  <r>
    <d v="2020-11-21T00:00:00"/>
    <x v="1"/>
    <s v="San Diego"/>
    <s v="Bars"/>
    <x v="0"/>
    <x v="30"/>
    <n v="1.77"/>
    <n v="35.4"/>
  </r>
  <r>
    <d v="2020-11-24T00:00:00"/>
    <x v="0"/>
    <s v="Boston"/>
    <s v="Cookies"/>
    <x v="3"/>
    <x v="73"/>
    <n v="2.1799999999999997"/>
    <n v="303.02"/>
  </r>
  <r>
    <d v="2020-11-27T00:00:00"/>
    <x v="0"/>
    <s v="Boston"/>
    <s v="Cookies"/>
    <x v="2"/>
    <x v="100"/>
    <n v="1.8699999999999999"/>
    <n v="394.57"/>
  </r>
  <r>
    <d v="2020-11-30T00:00:00"/>
    <x v="0"/>
    <s v="Boston"/>
    <s v="Crackers"/>
    <x v="1"/>
    <x v="30"/>
    <n v="3.4899999999999998"/>
    <n v="69.8"/>
  </r>
  <r>
    <d v="2020-12-03T00:00:00"/>
    <x v="1"/>
    <s v="Los Angeles"/>
    <s v="Bars"/>
    <x v="6"/>
    <x v="17"/>
    <n v="1.87"/>
    <n v="78.540000000000006"/>
  </r>
  <r>
    <d v="2020-12-06T00:00:00"/>
    <x v="1"/>
    <s v="Los Angeles"/>
    <s v="Cookies"/>
    <x v="5"/>
    <x v="8"/>
    <n v="2.84"/>
    <n v="284"/>
  </r>
  <r>
    <d v="2020-12-09T00:00:00"/>
    <x v="0"/>
    <s v="New York"/>
    <s v="Bars"/>
    <x v="0"/>
    <x v="4"/>
    <n v="1.7700000000000002"/>
    <n v="67.260000000000005"/>
  </r>
  <r>
    <d v="2020-12-12T00:00:00"/>
    <x v="0"/>
    <s v="New York"/>
    <s v="Crackers"/>
    <x v="1"/>
    <x v="36"/>
    <n v="3.49"/>
    <n v="87.25"/>
  </r>
  <r>
    <d v="2020-12-15T00:00:00"/>
    <x v="1"/>
    <s v="San Diego"/>
    <s v="Cookies"/>
    <x v="2"/>
    <x v="101"/>
    <n v="1.87"/>
    <n v="179.52"/>
  </r>
  <r>
    <d v="2020-12-18T00:00:00"/>
    <x v="0"/>
    <s v="Boston"/>
    <s v="Cookies"/>
    <x v="3"/>
    <x v="78"/>
    <n v="2.1800000000000002"/>
    <n v="74.12"/>
  </r>
  <r>
    <d v="2020-12-21T00:00:00"/>
    <x v="0"/>
    <s v="Boston"/>
    <s v="Cookies"/>
    <x v="2"/>
    <x v="102"/>
    <n v="1.8699999999999999"/>
    <n v="458.15"/>
  </r>
  <r>
    <d v="2020-12-24T00:00:00"/>
    <x v="0"/>
    <s v="Boston"/>
    <s v="Crackers"/>
    <x v="1"/>
    <x v="19"/>
    <n v="3.49"/>
    <n v="104.7"/>
  </r>
  <r>
    <d v="2020-12-27T00:00:00"/>
    <x v="1"/>
    <s v="Los Angeles"/>
    <s v="Bars"/>
    <x v="6"/>
    <x v="19"/>
    <n v="1.87"/>
    <n v="56.1"/>
  </r>
  <r>
    <d v="2020-12-30T00:00:00"/>
    <x v="1"/>
    <s v="Los Angeles"/>
    <s v="Cookies"/>
    <x v="5"/>
    <x v="12"/>
    <n v="2.84"/>
    <n v="124.9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44">
  <r>
    <d v="2019-01-01T00:00:00"/>
    <x v="0"/>
    <s v="Boston"/>
    <s v="Bars"/>
    <x v="0"/>
    <x v="0"/>
    <n v="1.7699999999999998"/>
    <n v="58.41"/>
  </r>
  <r>
    <d v="2019-01-04T00:00:00"/>
    <x v="0"/>
    <s v="Boston"/>
    <s v="Crackers"/>
    <x v="1"/>
    <x v="1"/>
    <n v="3.4899999999999998"/>
    <n v="303.63"/>
  </r>
  <r>
    <d v="2019-01-07T00:00:00"/>
    <x v="1"/>
    <s v="Los Angeles"/>
    <s v="Cookies"/>
    <x v="2"/>
    <x v="2"/>
    <n v="1.8699999999999999"/>
    <n v="108.46"/>
  </r>
  <r>
    <d v="2019-01-10T00:00:00"/>
    <x v="0"/>
    <s v="New York"/>
    <s v="Cookies"/>
    <x v="2"/>
    <x v="3"/>
    <n v="1.87"/>
    <n v="153.34"/>
  </r>
  <r>
    <d v="2019-01-13T00:00:00"/>
    <x v="0"/>
    <s v="Boston"/>
    <s v="Cookies"/>
    <x v="3"/>
    <x v="4"/>
    <n v="2.1800000000000002"/>
    <n v="82.84"/>
  </r>
  <r>
    <d v="2019-01-16T00:00:00"/>
    <x v="0"/>
    <s v="Boston"/>
    <s v="Bars"/>
    <x v="0"/>
    <x v="5"/>
    <n v="1.77"/>
    <n v="95.58"/>
  </r>
  <r>
    <d v="2019-01-19T00:00:00"/>
    <x v="0"/>
    <s v="Boston"/>
    <s v="Crackers"/>
    <x v="1"/>
    <x v="6"/>
    <n v="3.4899999999999998"/>
    <n v="520.01"/>
  </r>
  <r>
    <d v="2019-01-22T00:00:00"/>
    <x v="1"/>
    <s v="Los Angeles"/>
    <s v="Bars"/>
    <x v="0"/>
    <x v="7"/>
    <n v="1.77"/>
    <n v="90.27"/>
  </r>
  <r>
    <d v="2019-01-25T00:00:00"/>
    <x v="0"/>
    <s v="New York"/>
    <s v="Bars"/>
    <x v="0"/>
    <x v="8"/>
    <n v="1.77"/>
    <n v="177"/>
  </r>
  <r>
    <d v="2019-01-28T00:00:00"/>
    <x v="0"/>
    <s v="New York"/>
    <s v="Snacks"/>
    <x v="4"/>
    <x v="9"/>
    <n v="1.35"/>
    <n v="37.800000000000004"/>
  </r>
  <r>
    <d v="2019-01-31T00:00:00"/>
    <x v="0"/>
    <s v="Boston"/>
    <s v="Cookies"/>
    <x v="3"/>
    <x v="10"/>
    <n v="2.1800000000000002"/>
    <n v="78.48"/>
  </r>
  <r>
    <d v="2019-02-03T00:00:00"/>
    <x v="0"/>
    <s v="Boston"/>
    <s v="Cookies"/>
    <x v="2"/>
    <x v="11"/>
    <n v="1.8699999999999999"/>
    <n v="57.97"/>
  </r>
  <r>
    <d v="2019-02-06T00:00:00"/>
    <x v="0"/>
    <s v="Boston"/>
    <s v="Crackers"/>
    <x v="1"/>
    <x v="9"/>
    <n v="3.4899999999999998"/>
    <n v="97.72"/>
  </r>
  <r>
    <d v="2019-02-09T00:00:00"/>
    <x v="1"/>
    <s v="Los Angeles"/>
    <s v="Bars"/>
    <x v="0"/>
    <x v="12"/>
    <n v="1.7699999999999998"/>
    <n v="77.88"/>
  </r>
  <r>
    <d v="2019-02-12T00:00:00"/>
    <x v="0"/>
    <s v="New York"/>
    <s v="Bars"/>
    <x v="0"/>
    <x v="13"/>
    <n v="1.77"/>
    <n v="40.71"/>
  </r>
  <r>
    <d v="2019-02-15T00:00:00"/>
    <x v="0"/>
    <s v="New York"/>
    <s v="Snacks"/>
    <x v="4"/>
    <x v="14"/>
    <n v="1.35"/>
    <n v="36.450000000000003"/>
  </r>
  <r>
    <d v="2019-02-18T00:00:00"/>
    <x v="0"/>
    <s v="Boston"/>
    <s v="Cookies"/>
    <x v="3"/>
    <x v="15"/>
    <n v="2.1799999999999997"/>
    <n v="93.739999999999981"/>
  </r>
  <r>
    <d v="2019-02-21T00:00:00"/>
    <x v="0"/>
    <s v="Boston"/>
    <s v="Cookies"/>
    <x v="5"/>
    <x v="16"/>
    <n v="2.84"/>
    <n v="349.32"/>
  </r>
  <r>
    <d v="2019-02-24T00:00:00"/>
    <x v="1"/>
    <s v="Los Angeles"/>
    <s v="Bars"/>
    <x v="6"/>
    <x v="17"/>
    <n v="1.87"/>
    <n v="78.540000000000006"/>
  </r>
  <r>
    <d v="2019-02-27T00:00:00"/>
    <x v="1"/>
    <s v="Los Angeles"/>
    <s v="Cookies"/>
    <x v="5"/>
    <x v="0"/>
    <n v="2.84"/>
    <n v="93.72"/>
  </r>
  <r>
    <d v="2019-03-02T00:00:00"/>
    <x v="0"/>
    <s v="New York"/>
    <s v="Cookies"/>
    <x v="2"/>
    <x v="18"/>
    <n v="1.8699999999999999"/>
    <n v="158.94999999999999"/>
  </r>
  <r>
    <d v="2019-03-05T00:00:00"/>
    <x v="1"/>
    <s v="San Diego"/>
    <s v="Cookies"/>
    <x v="5"/>
    <x v="19"/>
    <n v="2.8400000000000003"/>
    <n v="85.2"/>
  </r>
  <r>
    <d v="2019-03-08T00:00:00"/>
    <x v="0"/>
    <s v="Boston"/>
    <s v="Bars"/>
    <x v="0"/>
    <x v="20"/>
    <n v="1.77"/>
    <n v="107.97"/>
  </r>
  <r>
    <d v="2019-03-11T00:00:00"/>
    <x v="0"/>
    <s v="Boston"/>
    <s v="Crackers"/>
    <x v="1"/>
    <x v="21"/>
    <n v="3.4899999999999998"/>
    <n v="139.6"/>
  </r>
  <r>
    <d v="2019-03-14T00:00:00"/>
    <x v="1"/>
    <s v="Los Angeles"/>
    <s v="Cookies"/>
    <x v="2"/>
    <x v="22"/>
    <n v="1.8699999999999999"/>
    <n v="160.82"/>
  </r>
  <r>
    <d v="2019-03-17T00:00:00"/>
    <x v="0"/>
    <s v="New York"/>
    <s v="Bars"/>
    <x v="0"/>
    <x v="4"/>
    <n v="1.7700000000000002"/>
    <n v="67.260000000000005"/>
  </r>
  <r>
    <d v="2019-03-20T00:00:00"/>
    <x v="0"/>
    <s v="New York"/>
    <s v="Snacks"/>
    <x v="4"/>
    <x v="23"/>
    <n v="1.68"/>
    <n v="114.24"/>
  </r>
  <r>
    <d v="2019-03-23T00:00:00"/>
    <x v="1"/>
    <s v="San Diego"/>
    <s v="Cookies"/>
    <x v="2"/>
    <x v="24"/>
    <n v="1.87"/>
    <n v="72.930000000000007"/>
  </r>
  <r>
    <d v="2019-03-26T00:00:00"/>
    <x v="0"/>
    <s v="Boston"/>
    <s v="Bars"/>
    <x v="6"/>
    <x v="25"/>
    <n v="1.87"/>
    <n v="192.61"/>
  </r>
  <r>
    <d v="2019-03-29T00:00:00"/>
    <x v="0"/>
    <s v="Boston"/>
    <s v="Cookies"/>
    <x v="5"/>
    <x v="26"/>
    <n v="2.84"/>
    <n v="548.12"/>
  </r>
  <r>
    <d v="2019-04-01T00:00:00"/>
    <x v="1"/>
    <s v="Los Angeles"/>
    <s v="Bars"/>
    <x v="0"/>
    <x v="2"/>
    <n v="1.77"/>
    <n v="102.66"/>
  </r>
  <r>
    <d v="2019-04-04T00:00:00"/>
    <x v="1"/>
    <s v="Los Angeles"/>
    <s v="Snacks"/>
    <x v="4"/>
    <x v="23"/>
    <n v="1.68"/>
    <n v="114.24"/>
  </r>
  <r>
    <d v="2019-04-07T00:00:00"/>
    <x v="0"/>
    <s v="New York"/>
    <s v="Bars"/>
    <x v="0"/>
    <x v="27"/>
    <n v="1.77"/>
    <n v="161.07"/>
  </r>
  <r>
    <d v="2019-04-10T00:00:00"/>
    <x v="0"/>
    <s v="New York"/>
    <s v="Crackers"/>
    <x v="1"/>
    <x v="13"/>
    <n v="3.4899999999999998"/>
    <n v="80.27"/>
  </r>
  <r>
    <d v="2019-04-13T00:00:00"/>
    <x v="1"/>
    <s v="San Diego"/>
    <s v="Snacks"/>
    <x v="4"/>
    <x v="9"/>
    <n v="1.68"/>
    <n v="47.04"/>
  </r>
  <r>
    <d v="2019-04-16T00:00:00"/>
    <x v="0"/>
    <s v="Boston"/>
    <s v="Bars"/>
    <x v="0"/>
    <x v="28"/>
    <n v="1.7699999999999998"/>
    <n v="84.96"/>
  </r>
  <r>
    <d v="2019-04-19T00:00:00"/>
    <x v="0"/>
    <s v="Boston"/>
    <s v="Snacks"/>
    <x v="4"/>
    <x v="29"/>
    <n v="1.68"/>
    <n v="225.12"/>
  </r>
  <r>
    <d v="2019-04-22T00:00:00"/>
    <x v="1"/>
    <s v="Los Angeles"/>
    <s v="Bars"/>
    <x v="0"/>
    <x v="30"/>
    <n v="1.77"/>
    <n v="35.4"/>
  </r>
  <r>
    <d v="2019-04-25T00:00:00"/>
    <x v="0"/>
    <s v="New York"/>
    <s v="Bars"/>
    <x v="0"/>
    <x v="31"/>
    <n v="1.77"/>
    <n v="93.81"/>
  </r>
  <r>
    <d v="2019-04-28T00:00:00"/>
    <x v="0"/>
    <s v="New York"/>
    <s v="Snacks"/>
    <x v="4"/>
    <x v="32"/>
    <n v="1.68"/>
    <n v="107.52"/>
  </r>
  <r>
    <d v="2019-05-01T00:00:00"/>
    <x v="1"/>
    <s v="San Diego"/>
    <s v="Cookies"/>
    <x v="2"/>
    <x v="33"/>
    <n v="1.87"/>
    <n v="117.81"/>
  </r>
  <r>
    <d v="2019-05-04T00:00:00"/>
    <x v="0"/>
    <s v="Boston"/>
    <s v="Bars"/>
    <x v="6"/>
    <x v="34"/>
    <n v="1.8699999999999999"/>
    <n v="196.35"/>
  </r>
  <r>
    <d v="2019-05-07T00:00:00"/>
    <x v="0"/>
    <s v="Boston"/>
    <s v="Cookies"/>
    <x v="5"/>
    <x v="35"/>
    <n v="2.8400000000000003"/>
    <n v="391.92"/>
  </r>
  <r>
    <d v="2019-05-10T00:00:00"/>
    <x v="1"/>
    <s v="Los Angeles"/>
    <s v="Bars"/>
    <x v="0"/>
    <x v="36"/>
    <n v="1.77"/>
    <n v="44.25"/>
  </r>
  <r>
    <d v="2019-05-13T00:00:00"/>
    <x v="1"/>
    <s v="Los Angeles"/>
    <s v="Crackers"/>
    <x v="1"/>
    <x v="37"/>
    <n v="3.49"/>
    <n v="73.290000000000006"/>
  </r>
  <r>
    <d v="2019-05-16T00:00:00"/>
    <x v="0"/>
    <s v="New York"/>
    <s v="Bars"/>
    <x v="0"/>
    <x v="20"/>
    <n v="1.77"/>
    <n v="107.97"/>
  </r>
  <r>
    <d v="2019-05-19T00:00:00"/>
    <x v="0"/>
    <s v="New York"/>
    <s v="Snacks"/>
    <x v="4"/>
    <x v="38"/>
    <n v="1.68"/>
    <n v="82.32"/>
  </r>
  <r>
    <d v="2019-05-22T00:00:00"/>
    <x v="1"/>
    <s v="San Diego"/>
    <s v="Cookies"/>
    <x v="2"/>
    <x v="39"/>
    <n v="1.8699999999999999"/>
    <n v="102.85"/>
  </r>
  <r>
    <d v="2019-05-25T00:00:00"/>
    <x v="0"/>
    <s v="Boston"/>
    <s v="Cookies"/>
    <x v="3"/>
    <x v="14"/>
    <n v="2.1800000000000002"/>
    <n v="58.860000000000007"/>
  </r>
  <r>
    <d v="2019-05-28T00:00:00"/>
    <x v="0"/>
    <s v="Boston"/>
    <s v="Bars"/>
    <x v="0"/>
    <x v="2"/>
    <n v="1.77"/>
    <n v="102.66"/>
  </r>
  <r>
    <d v="2019-05-31T00:00:00"/>
    <x v="0"/>
    <s v="Boston"/>
    <s v="Crackers"/>
    <x v="1"/>
    <x v="0"/>
    <n v="3.49"/>
    <n v="115.17"/>
  </r>
  <r>
    <d v="2019-06-03T00:00:00"/>
    <x v="1"/>
    <s v="Los Angeles"/>
    <s v="Cookies"/>
    <x v="5"/>
    <x v="40"/>
    <n v="2.84"/>
    <n v="817.92"/>
  </r>
  <r>
    <d v="2019-06-06T00:00:00"/>
    <x v="0"/>
    <s v="New York"/>
    <s v="Cookies"/>
    <x v="2"/>
    <x v="41"/>
    <n v="1.87"/>
    <n v="142.12"/>
  </r>
  <r>
    <d v="2019-06-09T00:00:00"/>
    <x v="1"/>
    <s v="San Diego"/>
    <s v="Bars"/>
    <x v="0"/>
    <x v="17"/>
    <n v="1.77"/>
    <n v="74.34"/>
  </r>
  <r>
    <d v="2019-06-12T00:00:00"/>
    <x v="1"/>
    <s v="San Diego"/>
    <s v="Crackers"/>
    <x v="1"/>
    <x v="30"/>
    <n v="3.4899999999999998"/>
    <n v="69.8"/>
  </r>
  <r>
    <d v="2019-06-15T00:00:00"/>
    <x v="0"/>
    <s v="Boston"/>
    <s v="Bars"/>
    <x v="0"/>
    <x v="42"/>
    <n v="1.77"/>
    <n v="132.75"/>
  </r>
  <r>
    <d v="2019-06-18T00:00:00"/>
    <x v="0"/>
    <s v="Boston"/>
    <s v="Crackers"/>
    <x v="1"/>
    <x v="4"/>
    <n v="3.49"/>
    <n v="132.62"/>
  </r>
  <r>
    <d v="2019-06-21T00:00:00"/>
    <x v="1"/>
    <s v="Los Angeles"/>
    <s v="Bars"/>
    <x v="0"/>
    <x v="43"/>
    <n v="1.77"/>
    <n v="541.62"/>
  </r>
  <r>
    <d v="2019-06-24T00:00:00"/>
    <x v="1"/>
    <s v="Los Angeles"/>
    <s v="Snacks"/>
    <x v="4"/>
    <x v="9"/>
    <n v="1.68"/>
    <n v="47.04"/>
  </r>
  <r>
    <d v="2019-06-27T00:00:00"/>
    <x v="0"/>
    <s v="New York"/>
    <s v="Bars"/>
    <x v="6"/>
    <x v="44"/>
    <n v="1.8699999999999999"/>
    <n v="205.7"/>
  </r>
  <r>
    <d v="2019-06-30T00:00:00"/>
    <x v="0"/>
    <s v="New York"/>
    <s v="Cookies"/>
    <x v="5"/>
    <x v="7"/>
    <n v="2.84"/>
    <n v="144.84"/>
  </r>
  <r>
    <d v="2019-07-03T00:00:00"/>
    <x v="1"/>
    <s v="San Diego"/>
    <s v="Bars"/>
    <x v="0"/>
    <x v="45"/>
    <n v="1.77"/>
    <n v="92.04"/>
  </r>
  <r>
    <d v="2019-07-06T00:00:00"/>
    <x v="1"/>
    <s v="San Diego"/>
    <s v="Crackers"/>
    <x v="1"/>
    <x v="9"/>
    <n v="3.4899999999999998"/>
    <n v="97.72"/>
  </r>
  <r>
    <d v="2019-07-09T00:00:00"/>
    <x v="0"/>
    <s v="Boston"/>
    <s v="Bars"/>
    <x v="0"/>
    <x v="46"/>
    <n v="1.77"/>
    <n v="240.72"/>
  </r>
  <r>
    <d v="2019-07-12T00:00:00"/>
    <x v="0"/>
    <s v="Boston"/>
    <s v="Crackers"/>
    <x v="1"/>
    <x v="17"/>
    <n v="3.49"/>
    <n v="146.58000000000001"/>
  </r>
  <r>
    <d v="2019-07-15T00:00:00"/>
    <x v="1"/>
    <s v="Los Angeles"/>
    <s v="Cookies"/>
    <x v="2"/>
    <x v="42"/>
    <n v="1.87"/>
    <n v="140.25"/>
  </r>
  <r>
    <d v="2019-07-18T00:00:00"/>
    <x v="0"/>
    <s v="New York"/>
    <s v="Bars"/>
    <x v="6"/>
    <x v="47"/>
    <n v="1.8699999999999999"/>
    <n v="134.63999999999999"/>
  </r>
  <r>
    <d v="2019-07-21T00:00:00"/>
    <x v="0"/>
    <s v="New York"/>
    <s v="Cookies"/>
    <x v="5"/>
    <x v="48"/>
    <n v="2.84"/>
    <n v="159.04"/>
  </r>
  <r>
    <d v="2019-07-24T00:00:00"/>
    <x v="1"/>
    <s v="San Diego"/>
    <s v="Bars"/>
    <x v="6"/>
    <x v="7"/>
    <n v="1.87"/>
    <n v="95.37"/>
  </r>
  <r>
    <d v="2019-07-27T00:00:00"/>
    <x v="1"/>
    <s v="San Diego"/>
    <s v="Snacks"/>
    <x v="4"/>
    <x v="11"/>
    <n v="1.68"/>
    <n v="52.08"/>
  </r>
  <r>
    <d v="2019-07-30T00:00:00"/>
    <x v="0"/>
    <s v="Boston"/>
    <s v="Bars"/>
    <x v="6"/>
    <x v="48"/>
    <n v="1.8699999999999999"/>
    <n v="104.72"/>
  </r>
  <r>
    <d v="2019-08-02T00:00:00"/>
    <x v="0"/>
    <s v="Boston"/>
    <s v="Cookies"/>
    <x v="5"/>
    <x v="49"/>
    <n v="2.84"/>
    <n v="389.08"/>
  </r>
  <r>
    <d v="2019-08-05T00:00:00"/>
    <x v="1"/>
    <s v="Los Angeles"/>
    <s v="Cookies"/>
    <x v="2"/>
    <x v="50"/>
    <n v="1.87"/>
    <n v="200.09"/>
  </r>
  <r>
    <d v="2019-08-08T00:00:00"/>
    <x v="0"/>
    <s v="New York"/>
    <s v="Bars"/>
    <x v="0"/>
    <x v="51"/>
    <n v="1.7699999999999998"/>
    <n v="42.48"/>
  </r>
  <r>
    <d v="2019-08-11T00:00:00"/>
    <x v="0"/>
    <s v="New York"/>
    <s v="Crackers"/>
    <x v="1"/>
    <x v="19"/>
    <n v="3.49"/>
    <n v="104.7"/>
  </r>
  <r>
    <d v="2019-08-14T00:00:00"/>
    <x v="1"/>
    <s v="San Diego"/>
    <s v="Cookies"/>
    <x v="2"/>
    <x v="52"/>
    <n v="1.87"/>
    <n v="130.9"/>
  </r>
  <r>
    <d v="2019-08-17T00:00:00"/>
    <x v="0"/>
    <s v="Boston"/>
    <s v="Cookies"/>
    <x v="3"/>
    <x v="11"/>
    <n v="2.1800000000000002"/>
    <n v="67.58"/>
  </r>
  <r>
    <d v="2019-08-20T00:00:00"/>
    <x v="0"/>
    <s v="Boston"/>
    <s v="Bars"/>
    <x v="0"/>
    <x v="53"/>
    <n v="1.77"/>
    <n v="192.93"/>
  </r>
  <r>
    <d v="2019-08-23T00:00:00"/>
    <x v="0"/>
    <s v="Boston"/>
    <s v="Crackers"/>
    <x v="1"/>
    <x v="37"/>
    <n v="3.49"/>
    <n v="73.290000000000006"/>
  </r>
  <r>
    <d v="2019-08-26T00:00:00"/>
    <x v="1"/>
    <s v="Los Angeles"/>
    <s v="Cookies"/>
    <x v="2"/>
    <x v="54"/>
    <n v="1.8699999999999999"/>
    <n v="149.6"/>
  </r>
  <r>
    <d v="2019-08-29T00:00:00"/>
    <x v="0"/>
    <s v="New York"/>
    <s v="Bars"/>
    <x v="6"/>
    <x v="42"/>
    <n v="1.87"/>
    <n v="140.25"/>
  </r>
  <r>
    <d v="2019-09-01T00:00:00"/>
    <x v="0"/>
    <s v="New York"/>
    <s v="Cookies"/>
    <x v="5"/>
    <x v="55"/>
    <n v="2.84"/>
    <n v="210.16"/>
  </r>
  <r>
    <d v="2019-09-04T00:00:00"/>
    <x v="1"/>
    <s v="San Diego"/>
    <s v="Bars"/>
    <x v="0"/>
    <x v="56"/>
    <n v="1.77"/>
    <n v="79.650000000000006"/>
  </r>
  <r>
    <d v="2019-09-07T00:00:00"/>
    <x v="0"/>
    <s v="Boston"/>
    <s v="Cookies"/>
    <x v="3"/>
    <x v="9"/>
    <n v="2.1800000000000002"/>
    <n v="61.040000000000006"/>
  </r>
  <r>
    <d v="2019-09-10T00:00:00"/>
    <x v="0"/>
    <s v="Boston"/>
    <s v="Bars"/>
    <x v="0"/>
    <x v="57"/>
    <n v="1.77"/>
    <n v="253.11"/>
  </r>
  <r>
    <d v="2019-09-13T00:00:00"/>
    <x v="0"/>
    <s v="Boston"/>
    <s v="Snacks"/>
    <x v="7"/>
    <x v="14"/>
    <n v="3.15"/>
    <n v="85.05"/>
  </r>
  <r>
    <d v="2019-09-16T00:00:00"/>
    <x v="1"/>
    <s v="Los Angeles"/>
    <s v="Bars"/>
    <x v="0"/>
    <x v="58"/>
    <n v="1.77"/>
    <n v="235.41"/>
  </r>
  <r>
    <d v="2019-09-19T00:00:00"/>
    <x v="0"/>
    <s v="New York"/>
    <s v="Cookies"/>
    <x v="3"/>
    <x v="44"/>
    <n v="2.1800000000000002"/>
    <n v="239.8"/>
  </r>
  <r>
    <d v="2019-09-22T00:00:00"/>
    <x v="0"/>
    <s v="New York"/>
    <s v="Cookies"/>
    <x v="2"/>
    <x v="59"/>
    <n v="1.8699999999999999"/>
    <n v="121.55"/>
  </r>
  <r>
    <d v="2019-09-25T00:00:00"/>
    <x v="1"/>
    <s v="San Diego"/>
    <s v="Bars"/>
    <x v="6"/>
    <x v="0"/>
    <n v="1.87"/>
    <n v="61.71"/>
  </r>
  <r>
    <d v="2019-09-28T00:00:00"/>
    <x v="0"/>
    <s v="Boston"/>
    <s v="Cookies"/>
    <x v="3"/>
    <x v="60"/>
    <n v="2.1800000000000002"/>
    <n v="176.58"/>
  </r>
  <r>
    <d v="2019-10-01T00:00:00"/>
    <x v="0"/>
    <s v="Boston"/>
    <s v="Bars"/>
    <x v="0"/>
    <x v="61"/>
    <n v="1.7699999999999998"/>
    <n v="136.29"/>
  </r>
  <r>
    <d v="2019-10-04T00:00:00"/>
    <x v="0"/>
    <s v="Boston"/>
    <s v="Crackers"/>
    <x v="1"/>
    <x v="4"/>
    <n v="3.49"/>
    <n v="132.62"/>
  </r>
  <r>
    <d v="2019-10-07T00:00:00"/>
    <x v="1"/>
    <s v="Los Angeles"/>
    <s v="Bars"/>
    <x v="0"/>
    <x v="21"/>
    <n v="1.77"/>
    <n v="70.8"/>
  </r>
  <r>
    <d v="2019-10-10T00:00:00"/>
    <x v="1"/>
    <s v="Los Angeles"/>
    <s v="Snacks"/>
    <x v="4"/>
    <x v="62"/>
    <n v="1.6800000000000002"/>
    <n v="191.52"/>
  </r>
  <r>
    <d v="2019-10-13T00:00:00"/>
    <x v="0"/>
    <s v="New York"/>
    <s v="Cookies"/>
    <x v="3"/>
    <x v="63"/>
    <n v="2.1800000000000002"/>
    <n v="488.32000000000005"/>
  </r>
  <r>
    <d v="2019-10-16T00:00:00"/>
    <x v="0"/>
    <s v="New York"/>
    <s v="Bars"/>
    <x v="0"/>
    <x v="64"/>
    <n v="1.77"/>
    <n v="249.57"/>
  </r>
  <r>
    <d v="2019-10-19T00:00:00"/>
    <x v="0"/>
    <s v="New York"/>
    <s v="Crackers"/>
    <x v="1"/>
    <x v="65"/>
    <n v="3.49"/>
    <n v="111.68"/>
  </r>
  <r>
    <d v="2019-10-22T00:00:00"/>
    <x v="1"/>
    <s v="San Diego"/>
    <s v="Bars"/>
    <x v="0"/>
    <x v="30"/>
    <n v="1.77"/>
    <n v="35.4"/>
  </r>
  <r>
    <d v="2019-10-25T00:00:00"/>
    <x v="0"/>
    <s v="Boston"/>
    <s v="Cookies"/>
    <x v="3"/>
    <x v="21"/>
    <n v="2.1800000000000002"/>
    <n v="87.2"/>
  </r>
  <r>
    <d v="2019-10-28T00:00:00"/>
    <x v="0"/>
    <s v="Boston"/>
    <s v="Cookies"/>
    <x v="2"/>
    <x v="38"/>
    <n v="1.8699999999999999"/>
    <n v="91.63"/>
  </r>
  <r>
    <d v="2019-10-31T00:00:00"/>
    <x v="0"/>
    <s v="Boston"/>
    <s v="Crackers"/>
    <x v="1"/>
    <x v="66"/>
    <n v="3.4899999999999998"/>
    <n v="160.54"/>
  </r>
  <r>
    <d v="2019-11-03T00:00:00"/>
    <x v="1"/>
    <s v="Los Angeles"/>
    <s v="Bars"/>
    <x v="0"/>
    <x v="24"/>
    <n v="1.77"/>
    <n v="69.03"/>
  </r>
  <r>
    <d v="2019-11-06T00:00:00"/>
    <x v="1"/>
    <s v="Los Angeles"/>
    <s v="Snacks"/>
    <x v="4"/>
    <x v="67"/>
    <n v="1.68"/>
    <n v="104.16"/>
  </r>
  <r>
    <d v="2019-11-09T00:00:00"/>
    <x v="0"/>
    <s v="New York"/>
    <s v="Bars"/>
    <x v="0"/>
    <x v="68"/>
    <n v="1.77"/>
    <n v="159.30000000000001"/>
  </r>
  <r>
    <d v="2019-11-12T00:00:00"/>
    <x v="1"/>
    <s v="San Diego"/>
    <s v="Cookies"/>
    <x v="3"/>
    <x v="25"/>
    <n v="2.1799999999999997"/>
    <n v="224.53999999999996"/>
  </r>
  <r>
    <d v="2019-11-15T00:00:00"/>
    <x v="1"/>
    <s v="San Diego"/>
    <s v="Cookies"/>
    <x v="5"/>
    <x v="65"/>
    <n v="2.84"/>
    <n v="90.88"/>
  </r>
  <r>
    <d v="2019-11-18T00:00:00"/>
    <x v="0"/>
    <s v="Boston"/>
    <s v="Bars"/>
    <x v="6"/>
    <x v="69"/>
    <n v="1.87"/>
    <n v="123.42"/>
  </r>
  <r>
    <d v="2019-11-21T00:00:00"/>
    <x v="0"/>
    <s v="Boston"/>
    <s v="Cookies"/>
    <x v="5"/>
    <x v="70"/>
    <n v="2.8400000000000003"/>
    <n v="275.48"/>
  </r>
  <r>
    <d v="2019-11-24T00:00:00"/>
    <x v="1"/>
    <s v="Los Angeles"/>
    <s v="Bars"/>
    <x v="0"/>
    <x v="19"/>
    <n v="1.77"/>
    <n v="53.1"/>
  </r>
  <r>
    <d v="2019-11-27T00:00:00"/>
    <x v="1"/>
    <s v="Los Angeles"/>
    <s v="Snacks"/>
    <x v="4"/>
    <x v="71"/>
    <n v="1.68"/>
    <n v="48.72"/>
  </r>
  <r>
    <d v="2019-11-30T00:00:00"/>
    <x v="0"/>
    <s v="New York"/>
    <s v="Bars"/>
    <x v="0"/>
    <x v="72"/>
    <n v="1.77"/>
    <n v="162.84"/>
  </r>
  <r>
    <d v="2019-12-03T00:00:00"/>
    <x v="1"/>
    <s v="San Diego"/>
    <s v="Cookies"/>
    <x v="3"/>
    <x v="73"/>
    <n v="2.1799999999999997"/>
    <n v="303.02"/>
  </r>
  <r>
    <d v="2019-12-06T00:00:00"/>
    <x v="1"/>
    <s v="San Diego"/>
    <s v="Cookies"/>
    <x v="5"/>
    <x v="71"/>
    <n v="2.84"/>
    <n v="82.36"/>
  </r>
  <r>
    <d v="2019-12-09T00:00:00"/>
    <x v="0"/>
    <s v="Boston"/>
    <s v="Bars"/>
    <x v="8"/>
    <x v="19"/>
    <n v="2.27"/>
    <n v="68.099999999999994"/>
  </r>
  <r>
    <d v="2019-12-12T00:00:00"/>
    <x v="0"/>
    <s v="Boston"/>
    <s v="Cookies"/>
    <x v="2"/>
    <x v="10"/>
    <n v="1.8699999999999999"/>
    <n v="67.319999999999993"/>
  </r>
  <r>
    <d v="2019-12-15T00:00:00"/>
    <x v="0"/>
    <s v="Boston"/>
    <s v="Crackers"/>
    <x v="1"/>
    <x v="74"/>
    <n v="3.49"/>
    <n v="143.09"/>
  </r>
  <r>
    <d v="2019-12-18T00:00:00"/>
    <x v="1"/>
    <s v="Los Angeles"/>
    <s v="Bars"/>
    <x v="0"/>
    <x v="12"/>
    <n v="1.7699999999999998"/>
    <n v="77.88"/>
  </r>
  <r>
    <d v="2019-12-21T00:00:00"/>
    <x v="1"/>
    <s v="Los Angeles"/>
    <s v="Snacks"/>
    <x v="4"/>
    <x v="71"/>
    <n v="1.68"/>
    <n v="48.72"/>
  </r>
  <r>
    <d v="2019-12-24T00:00:00"/>
    <x v="0"/>
    <s v="New York"/>
    <s v="Cookies"/>
    <x v="3"/>
    <x v="75"/>
    <n v="2.1799999999999997"/>
    <n v="516.66"/>
  </r>
  <r>
    <d v="2019-12-27T00:00:00"/>
    <x v="0"/>
    <s v="New York"/>
    <s v="Cookies"/>
    <x v="2"/>
    <x v="59"/>
    <n v="1.8699999999999999"/>
    <n v="121.55"/>
  </r>
  <r>
    <d v="2019-12-30T00:00:00"/>
    <x v="1"/>
    <s v="San Diego"/>
    <s v="Cookies"/>
    <x v="3"/>
    <x v="76"/>
    <n v="2.1800000000000002"/>
    <n v="180.94000000000003"/>
  </r>
  <r>
    <d v="2020-01-02T00:00:00"/>
    <x v="0"/>
    <s v="Boston"/>
    <s v="Cookies"/>
    <x v="3"/>
    <x v="65"/>
    <n v="2.1800000000000002"/>
    <n v="69.760000000000005"/>
  </r>
  <r>
    <d v="2020-01-05T00:00:00"/>
    <x v="0"/>
    <s v="Boston"/>
    <s v="Bars"/>
    <x v="0"/>
    <x v="33"/>
    <n v="1.77"/>
    <n v="111.51"/>
  </r>
  <r>
    <d v="2020-01-08T00:00:00"/>
    <x v="0"/>
    <s v="Boston"/>
    <s v="Snacks"/>
    <x v="7"/>
    <x v="71"/>
    <n v="3.15"/>
    <n v="91.35"/>
  </r>
  <r>
    <d v="2020-01-11T00:00:00"/>
    <x v="1"/>
    <s v="Los Angeles"/>
    <s v="Bars"/>
    <x v="6"/>
    <x v="61"/>
    <n v="1.87"/>
    <n v="143.99"/>
  </r>
  <r>
    <d v="2020-01-14T00:00:00"/>
    <x v="1"/>
    <s v="Los Angeles"/>
    <s v="Cookies"/>
    <x v="5"/>
    <x v="54"/>
    <n v="2.84"/>
    <n v="227.2"/>
  </r>
  <r>
    <d v="2020-01-17T00:00:00"/>
    <x v="0"/>
    <s v="New York"/>
    <s v="Bars"/>
    <x v="0"/>
    <x v="77"/>
    <n v="1.77"/>
    <n v="180.54"/>
  </r>
  <r>
    <d v="2020-01-20T00:00:00"/>
    <x v="0"/>
    <s v="New York"/>
    <s v="Crackers"/>
    <x v="1"/>
    <x v="11"/>
    <n v="3.4899999999999998"/>
    <n v="108.19"/>
  </r>
  <r>
    <d v="2020-01-23T00:00:00"/>
    <x v="1"/>
    <s v="San Diego"/>
    <s v="Bars"/>
    <x v="0"/>
    <x v="48"/>
    <n v="1.77"/>
    <n v="99.12"/>
  </r>
  <r>
    <d v="2020-01-26T00:00:00"/>
    <x v="0"/>
    <s v="Boston"/>
    <s v="Cookies"/>
    <x v="3"/>
    <x v="45"/>
    <n v="2.1800000000000002"/>
    <n v="113.36000000000001"/>
  </r>
  <r>
    <d v="2020-01-29T00:00:00"/>
    <x v="0"/>
    <s v="Boston"/>
    <s v="Bars"/>
    <x v="0"/>
    <x v="7"/>
    <n v="1.77"/>
    <n v="90.27"/>
  </r>
  <r>
    <d v="2020-02-01T00:00:00"/>
    <x v="0"/>
    <s v="Boston"/>
    <s v="Snacks"/>
    <x v="4"/>
    <x v="51"/>
    <n v="1.68"/>
    <n v="40.32"/>
  </r>
  <r>
    <d v="2020-02-04T00:00:00"/>
    <x v="1"/>
    <s v="Los Angeles"/>
    <s v="Cookies"/>
    <x v="3"/>
    <x v="2"/>
    <n v="2.1800000000000002"/>
    <n v="126.44000000000001"/>
  </r>
  <r>
    <d v="2020-02-07T00:00:00"/>
    <x v="1"/>
    <s v="Los Angeles"/>
    <s v="Cookies"/>
    <x v="2"/>
    <x v="78"/>
    <n v="1.8699999999999999"/>
    <n v="63.58"/>
  </r>
  <r>
    <d v="2020-02-10T00:00:00"/>
    <x v="0"/>
    <s v="New York"/>
    <s v="Bars"/>
    <x v="0"/>
    <x v="78"/>
    <n v="1.77"/>
    <n v="60.18"/>
  </r>
  <r>
    <d v="2020-02-13T00:00:00"/>
    <x v="0"/>
    <s v="New York"/>
    <s v="Snacks"/>
    <x v="4"/>
    <x v="37"/>
    <n v="1.6800000000000002"/>
    <n v="35.28"/>
  </r>
  <r>
    <d v="2020-02-16T00:00:00"/>
    <x v="1"/>
    <s v="San Diego"/>
    <s v="Cookies"/>
    <x v="5"/>
    <x v="71"/>
    <n v="2.84"/>
    <n v="82.36"/>
  </r>
  <r>
    <d v="2020-02-19T00:00:00"/>
    <x v="0"/>
    <s v="Boston"/>
    <s v="Bars"/>
    <x v="0"/>
    <x v="23"/>
    <n v="1.77"/>
    <n v="120.36"/>
  </r>
  <r>
    <d v="2020-02-22T00:00:00"/>
    <x v="0"/>
    <s v="Boston"/>
    <s v="Snacks"/>
    <x v="7"/>
    <x v="11"/>
    <n v="3.1500000000000004"/>
    <n v="97.65"/>
  </r>
  <r>
    <d v="2020-02-25T00:00:00"/>
    <x v="1"/>
    <s v="Los Angeles"/>
    <s v="Cookies"/>
    <x v="3"/>
    <x v="19"/>
    <n v="2.1800000000000002"/>
    <n v="65.400000000000006"/>
  </r>
  <r>
    <d v="2020-02-28T00:00:00"/>
    <x v="1"/>
    <s v="Los Angeles"/>
    <s v="Cookies"/>
    <x v="2"/>
    <x v="79"/>
    <n v="1.8699999999999999"/>
    <n v="433.84"/>
  </r>
  <r>
    <d v="2020-03-02T00:00:00"/>
    <x v="0"/>
    <s v="New York"/>
    <s v="Bars"/>
    <x v="6"/>
    <x v="23"/>
    <n v="1.8699999999999999"/>
    <n v="127.16"/>
  </r>
  <r>
    <d v="2020-03-05T00:00:00"/>
    <x v="0"/>
    <s v="New York"/>
    <s v="Cookies"/>
    <x v="5"/>
    <x v="70"/>
    <n v="2.8400000000000003"/>
    <n v="275.48"/>
  </r>
  <r>
    <d v="2020-03-08T00:00:00"/>
    <x v="1"/>
    <s v="San Diego"/>
    <s v="Bars"/>
    <x v="6"/>
    <x v="22"/>
    <n v="1.8699999999999999"/>
    <n v="160.82"/>
  </r>
  <r>
    <d v="2020-03-11T00:00:00"/>
    <x v="1"/>
    <s v="San Diego"/>
    <s v="Snacks"/>
    <x v="4"/>
    <x v="74"/>
    <n v="1.68"/>
    <n v="68.88"/>
  </r>
  <r>
    <d v="2020-03-14T00:00:00"/>
    <x v="0"/>
    <s v="Boston"/>
    <s v="Bars"/>
    <x v="0"/>
    <x v="80"/>
    <n v="1.7700000000000002"/>
    <n v="164.61"/>
  </r>
  <r>
    <d v="2020-03-17T00:00:00"/>
    <x v="0"/>
    <s v="Boston"/>
    <s v="Snacks"/>
    <x v="4"/>
    <x v="81"/>
    <n v="1.68"/>
    <n v="78.959999999999994"/>
  </r>
  <r>
    <d v="2020-03-20T00:00:00"/>
    <x v="1"/>
    <s v="Los Angeles"/>
    <s v="Bars"/>
    <x v="0"/>
    <x v="25"/>
    <n v="1.77"/>
    <n v="182.31"/>
  </r>
  <r>
    <d v="2020-03-23T00:00:00"/>
    <x v="1"/>
    <s v="Los Angeles"/>
    <s v="Snacks"/>
    <x v="4"/>
    <x v="0"/>
    <n v="1.68"/>
    <n v="55.44"/>
  </r>
  <r>
    <d v="2020-03-26T00:00:00"/>
    <x v="0"/>
    <s v="New York"/>
    <s v="Bars"/>
    <x v="6"/>
    <x v="82"/>
    <n v="1.87"/>
    <n v="106.59"/>
  </r>
  <r>
    <d v="2020-03-29T00:00:00"/>
    <x v="0"/>
    <s v="New York"/>
    <s v="Cookies"/>
    <x v="5"/>
    <x v="59"/>
    <n v="2.84"/>
    <n v="184.6"/>
  </r>
  <r>
    <d v="2020-04-01T00:00:00"/>
    <x v="1"/>
    <s v="San Diego"/>
    <s v="Bars"/>
    <x v="0"/>
    <x v="83"/>
    <n v="1.77"/>
    <n v="208.86"/>
  </r>
  <r>
    <d v="2020-04-04T00:00:00"/>
    <x v="0"/>
    <s v="Boston"/>
    <s v="Cookies"/>
    <x v="3"/>
    <x v="10"/>
    <n v="2.1800000000000002"/>
    <n v="78.48"/>
  </r>
  <r>
    <d v="2020-04-07T00:00:00"/>
    <x v="0"/>
    <s v="Boston"/>
    <s v="Cookies"/>
    <x v="5"/>
    <x v="16"/>
    <n v="2.84"/>
    <n v="349.32"/>
  </r>
  <r>
    <d v="2020-04-10T00:00:00"/>
    <x v="1"/>
    <s v="Los Angeles"/>
    <s v="Bars"/>
    <x v="0"/>
    <x v="68"/>
    <n v="1.77"/>
    <n v="159.30000000000001"/>
  </r>
  <r>
    <d v="2020-04-13T00:00:00"/>
    <x v="1"/>
    <s v="Los Angeles"/>
    <s v="Crackers"/>
    <x v="1"/>
    <x v="37"/>
    <n v="3.49"/>
    <n v="73.290000000000006"/>
  </r>
  <r>
    <d v="2020-04-16T00:00:00"/>
    <x v="0"/>
    <s v="New York"/>
    <s v="Bars"/>
    <x v="0"/>
    <x v="28"/>
    <n v="1.7699999999999998"/>
    <n v="84.96"/>
  </r>
  <r>
    <d v="2020-04-19T00:00:00"/>
    <x v="0"/>
    <s v="New York"/>
    <s v="Snacks"/>
    <x v="4"/>
    <x v="51"/>
    <n v="1.68"/>
    <n v="40.32"/>
  </r>
  <r>
    <d v="2020-04-22T00:00:00"/>
    <x v="1"/>
    <s v="San Diego"/>
    <s v="Cookies"/>
    <x v="2"/>
    <x v="84"/>
    <n v="1.87"/>
    <n v="125.29"/>
  </r>
  <r>
    <d v="2020-04-25T00:00:00"/>
    <x v="0"/>
    <s v="Boston"/>
    <s v="Bars"/>
    <x v="6"/>
    <x v="14"/>
    <n v="1.87"/>
    <n v="50.49"/>
  </r>
  <r>
    <d v="2020-04-28T00:00:00"/>
    <x v="0"/>
    <s v="Boston"/>
    <s v="Cookies"/>
    <x v="5"/>
    <x v="85"/>
    <n v="2.8400000000000003"/>
    <n v="366.36"/>
  </r>
  <r>
    <d v="2020-05-01T00:00:00"/>
    <x v="1"/>
    <s v="Los Angeles"/>
    <s v="Cookies"/>
    <x v="3"/>
    <x v="61"/>
    <n v="2.1800000000000002"/>
    <n v="167.86"/>
  </r>
  <r>
    <d v="2020-05-04T00:00:00"/>
    <x v="1"/>
    <s v="Los Angeles"/>
    <s v="Cookies"/>
    <x v="2"/>
    <x v="2"/>
    <n v="1.8699999999999999"/>
    <n v="108.46"/>
  </r>
  <r>
    <d v="2020-05-07T00:00:00"/>
    <x v="0"/>
    <s v="New York"/>
    <s v="Bars"/>
    <x v="6"/>
    <x v="81"/>
    <n v="1.87"/>
    <n v="87.89"/>
  </r>
  <r>
    <d v="2020-05-10T00:00:00"/>
    <x v="0"/>
    <s v="New York"/>
    <s v="Cookies"/>
    <x v="5"/>
    <x v="0"/>
    <n v="2.84"/>
    <n v="93.72"/>
  </r>
  <r>
    <d v="2020-05-13T00:00:00"/>
    <x v="1"/>
    <s v="San Diego"/>
    <s v="Cookies"/>
    <x v="2"/>
    <x v="3"/>
    <n v="1.87"/>
    <n v="153.34"/>
  </r>
  <r>
    <d v="2020-05-16T00:00:00"/>
    <x v="0"/>
    <s v="Boston"/>
    <s v="Bars"/>
    <x v="0"/>
    <x v="2"/>
    <n v="1.77"/>
    <n v="102.66"/>
  </r>
  <r>
    <d v="2020-05-19T00:00:00"/>
    <x v="0"/>
    <s v="Boston"/>
    <s v="Snacks"/>
    <x v="7"/>
    <x v="19"/>
    <n v="3.15"/>
    <n v="94.5"/>
  </r>
  <r>
    <d v="2020-05-22T00:00:00"/>
    <x v="1"/>
    <s v="Los Angeles"/>
    <s v="Cookies"/>
    <x v="2"/>
    <x v="15"/>
    <n v="1.8699999999999999"/>
    <n v="80.41"/>
  </r>
  <r>
    <d v="2020-05-25T00:00:00"/>
    <x v="0"/>
    <s v="New York"/>
    <s v="Bars"/>
    <x v="0"/>
    <x v="86"/>
    <n v="1.77"/>
    <n v="148.68"/>
  </r>
  <r>
    <d v="2020-05-28T00:00:00"/>
    <x v="1"/>
    <s v="San Diego"/>
    <s v="Cookies"/>
    <x v="3"/>
    <x v="10"/>
    <n v="2.1800000000000002"/>
    <n v="78.48"/>
  </r>
  <r>
    <d v="2020-05-31T00:00:00"/>
    <x v="1"/>
    <s v="San Diego"/>
    <s v="Cookies"/>
    <x v="5"/>
    <x v="12"/>
    <n v="2.84"/>
    <n v="124.96"/>
  </r>
  <r>
    <d v="2020-06-03T00:00:00"/>
    <x v="0"/>
    <s v="Boston"/>
    <s v="Bars"/>
    <x v="6"/>
    <x v="14"/>
    <n v="1.87"/>
    <n v="50.49"/>
  </r>
  <r>
    <d v="2020-06-06T00:00:00"/>
    <x v="0"/>
    <s v="Boston"/>
    <s v="Cookies"/>
    <x v="5"/>
    <x v="87"/>
    <n v="2.8400000000000003"/>
    <n v="340.8"/>
  </r>
  <r>
    <d v="2020-06-09T00:00:00"/>
    <x v="0"/>
    <s v="Boston"/>
    <s v="Crackers"/>
    <x v="1"/>
    <x v="88"/>
    <n v="3.4899999999999998"/>
    <n v="90.74"/>
  </r>
  <r>
    <d v="2020-06-12T00:00:00"/>
    <x v="1"/>
    <s v="Los Angeles"/>
    <s v="Bars"/>
    <x v="0"/>
    <x v="89"/>
    <n v="1.77"/>
    <n v="129.21"/>
  </r>
  <r>
    <d v="2020-06-15T00:00:00"/>
    <x v="0"/>
    <s v="New York"/>
    <s v="Bars"/>
    <x v="6"/>
    <x v="4"/>
    <n v="1.87"/>
    <n v="71.06"/>
  </r>
  <r>
    <d v="2020-06-18T00:00:00"/>
    <x v="0"/>
    <s v="New York"/>
    <s v="Cookies"/>
    <x v="5"/>
    <x v="21"/>
    <n v="2.84"/>
    <n v="113.6"/>
  </r>
  <r>
    <d v="2020-06-21T00:00:00"/>
    <x v="1"/>
    <s v="San Diego"/>
    <s v="Bars"/>
    <x v="0"/>
    <x v="74"/>
    <n v="1.7699999999999998"/>
    <n v="72.569999999999993"/>
  </r>
  <r>
    <d v="2020-06-24T00:00:00"/>
    <x v="0"/>
    <s v="Boston"/>
    <s v="Bars"/>
    <x v="8"/>
    <x v="14"/>
    <n v="2.27"/>
    <n v="61.29"/>
  </r>
  <r>
    <d v="2020-06-27T00:00:00"/>
    <x v="0"/>
    <s v="Boston"/>
    <s v="Cookies"/>
    <x v="2"/>
    <x v="4"/>
    <n v="1.87"/>
    <n v="71.06"/>
  </r>
  <r>
    <d v="2020-06-30T00:00:00"/>
    <x v="0"/>
    <s v="Boston"/>
    <s v="Crackers"/>
    <x v="1"/>
    <x v="78"/>
    <n v="3.4899999999999998"/>
    <n v="118.66"/>
  </r>
  <r>
    <d v="2020-07-03T00:00:00"/>
    <x v="1"/>
    <s v="Los Angeles"/>
    <s v="Bars"/>
    <x v="6"/>
    <x v="59"/>
    <n v="1.8699999999999999"/>
    <n v="121.55"/>
  </r>
  <r>
    <d v="2020-07-06T00:00:00"/>
    <x v="1"/>
    <s v="Los Angeles"/>
    <s v="Cookies"/>
    <x v="5"/>
    <x v="90"/>
    <n v="2.8400000000000003"/>
    <n v="170.4"/>
  </r>
  <r>
    <d v="2020-07-09T00:00:00"/>
    <x v="0"/>
    <s v="New York"/>
    <s v="Cookies"/>
    <x v="3"/>
    <x v="91"/>
    <n v="2.1799999999999997"/>
    <n v="80.66"/>
  </r>
  <r>
    <d v="2020-07-12T00:00:00"/>
    <x v="0"/>
    <s v="New York"/>
    <s v="Cookies"/>
    <x v="2"/>
    <x v="21"/>
    <n v="1.8699999999999999"/>
    <n v="74.8"/>
  </r>
  <r>
    <d v="2020-07-15T00:00:00"/>
    <x v="1"/>
    <s v="San Diego"/>
    <s v="Bars"/>
    <x v="6"/>
    <x v="88"/>
    <n v="1.8699999999999999"/>
    <n v="48.62"/>
  </r>
  <r>
    <d v="2020-07-18T00:00:00"/>
    <x v="0"/>
    <s v="Boston"/>
    <s v="Bars"/>
    <x v="8"/>
    <x v="92"/>
    <n v="2.27"/>
    <n v="49.94"/>
  </r>
  <r>
    <d v="2020-07-21T00:00:00"/>
    <x v="0"/>
    <s v="Boston"/>
    <s v="Cookies"/>
    <x v="2"/>
    <x v="65"/>
    <n v="1.87"/>
    <n v="59.84"/>
  </r>
  <r>
    <d v="2020-07-24T00:00:00"/>
    <x v="0"/>
    <s v="Boston"/>
    <s v="Crackers"/>
    <x v="1"/>
    <x v="13"/>
    <n v="3.4899999999999998"/>
    <n v="80.27"/>
  </r>
  <r>
    <d v="2020-07-27T00:00:00"/>
    <x v="1"/>
    <s v="Los Angeles"/>
    <s v="Cookies"/>
    <x v="3"/>
    <x v="30"/>
    <n v="2.1800000000000002"/>
    <n v="43.6"/>
  </r>
  <r>
    <d v="2020-07-30T00:00:00"/>
    <x v="1"/>
    <s v="Los Angeles"/>
    <s v="Cookies"/>
    <x v="2"/>
    <x v="32"/>
    <n v="1.87"/>
    <n v="119.68"/>
  </r>
  <r>
    <d v="2020-08-02T00:00:00"/>
    <x v="0"/>
    <s v="New York"/>
    <s v="Bars"/>
    <x v="0"/>
    <x v="93"/>
    <n v="1.77"/>
    <n v="125.67"/>
  </r>
  <r>
    <d v="2020-08-05T00:00:00"/>
    <x v="1"/>
    <s v="San Diego"/>
    <s v="Cookies"/>
    <x v="3"/>
    <x v="68"/>
    <n v="2.1799999999999997"/>
    <n v="196.2"/>
  </r>
  <r>
    <d v="2020-08-08T00:00:00"/>
    <x v="1"/>
    <s v="San Diego"/>
    <s v="Cookies"/>
    <x v="5"/>
    <x v="4"/>
    <n v="2.84"/>
    <n v="107.91999999999999"/>
  </r>
  <r>
    <d v="2020-08-11T00:00:00"/>
    <x v="0"/>
    <s v="Boston"/>
    <s v="Bars"/>
    <x v="0"/>
    <x v="39"/>
    <n v="1.7699999999999998"/>
    <n v="97.35"/>
  </r>
  <r>
    <d v="2020-08-14T00:00:00"/>
    <x v="0"/>
    <s v="Boston"/>
    <s v="Snacks"/>
    <x v="7"/>
    <x v="92"/>
    <n v="3.15"/>
    <n v="69.3"/>
  </r>
  <r>
    <d v="2020-08-17T00:00:00"/>
    <x v="1"/>
    <s v="Los Angeles"/>
    <s v="Bars"/>
    <x v="0"/>
    <x v="78"/>
    <n v="1.77"/>
    <n v="60.18"/>
  </r>
  <r>
    <d v="2020-08-20T00:00:00"/>
    <x v="0"/>
    <s v="New York"/>
    <s v="Bars"/>
    <x v="6"/>
    <x v="24"/>
    <n v="1.87"/>
    <n v="72.930000000000007"/>
  </r>
  <r>
    <d v="2020-08-23T00:00:00"/>
    <x v="0"/>
    <s v="New York"/>
    <s v="Cookies"/>
    <x v="5"/>
    <x v="74"/>
    <n v="2.84"/>
    <n v="116.44"/>
  </r>
  <r>
    <d v="2020-08-26T00:00:00"/>
    <x v="1"/>
    <s v="San Diego"/>
    <s v="Bars"/>
    <x v="0"/>
    <x v="74"/>
    <n v="1.7699999999999998"/>
    <n v="72.569999999999993"/>
  </r>
  <r>
    <d v="2020-08-29T00:00:00"/>
    <x v="0"/>
    <s v="Boston"/>
    <s v="Cookies"/>
    <x v="3"/>
    <x v="46"/>
    <n v="2.1800000000000002"/>
    <n v="296.48"/>
  </r>
  <r>
    <d v="2020-09-01T00:00:00"/>
    <x v="0"/>
    <s v="Boston"/>
    <s v="Bars"/>
    <x v="0"/>
    <x v="36"/>
    <n v="1.77"/>
    <n v="44.25"/>
  </r>
  <r>
    <d v="2020-09-04T00:00:00"/>
    <x v="0"/>
    <s v="Boston"/>
    <s v="Snacks"/>
    <x v="7"/>
    <x v="88"/>
    <n v="3.1500000000000004"/>
    <n v="81.900000000000006"/>
  </r>
  <r>
    <d v="2020-09-07T00:00:00"/>
    <x v="1"/>
    <s v="Los Angeles"/>
    <s v="Bars"/>
    <x v="6"/>
    <x v="94"/>
    <n v="1.87"/>
    <n v="93.5"/>
  </r>
  <r>
    <d v="2020-09-10T00:00:00"/>
    <x v="1"/>
    <s v="Los Angeles"/>
    <s v="Cookies"/>
    <x v="5"/>
    <x v="95"/>
    <n v="2.8400000000000003"/>
    <n v="224.36"/>
  </r>
  <r>
    <d v="2020-09-13T00:00:00"/>
    <x v="0"/>
    <s v="New York"/>
    <s v="Bars"/>
    <x v="0"/>
    <x v="19"/>
    <n v="1.77"/>
    <n v="53.1"/>
  </r>
  <r>
    <d v="2020-09-16T00:00:00"/>
    <x v="0"/>
    <s v="New York"/>
    <s v="Snacks"/>
    <x v="4"/>
    <x v="30"/>
    <n v="1.6800000000000002"/>
    <n v="33.6"/>
  </r>
  <r>
    <d v="2020-09-19T00:00:00"/>
    <x v="1"/>
    <s v="San Diego"/>
    <s v="Bars"/>
    <x v="0"/>
    <x v="38"/>
    <n v="1.77"/>
    <n v="86.73"/>
  </r>
  <r>
    <d v="2020-09-22T00:00:00"/>
    <x v="0"/>
    <s v="Boston"/>
    <s v="Cookies"/>
    <x v="3"/>
    <x v="21"/>
    <n v="2.1800000000000002"/>
    <n v="87.2"/>
  </r>
  <r>
    <d v="2020-09-25T00:00:00"/>
    <x v="0"/>
    <s v="Boston"/>
    <s v="Bars"/>
    <x v="0"/>
    <x v="11"/>
    <n v="1.77"/>
    <n v="54.87"/>
  </r>
  <r>
    <d v="2020-09-28T00:00:00"/>
    <x v="0"/>
    <s v="Boston"/>
    <s v="Snacks"/>
    <x v="7"/>
    <x v="37"/>
    <n v="3.1500000000000004"/>
    <n v="66.150000000000006"/>
  </r>
  <r>
    <d v="2020-10-01T00:00:00"/>
    <x v="1"/>
    <s v="Los Angeles"/>
    <s v="Bars"/>
    <x v="6"/>
    <x v="15"/>
    <n v="1.8699999999999999"/>
    <n v="80.41"/>
  </r>
  <r>
    <d v="2020-10-04T00:00:00"/>
    <x v="1"/>
    <s v="Los Angeles"/>
    <s v="Cookies"/>
    <x v="5"/>
    <x v="81"/>
    <n v="2.84"/>
    <n v="133.47999999999999"/>
  </r>
  <r>
    <d v="2020-10-07T00:00:00"/>
    <x v="0"/>
    <s v="New York"/>
    <s v="Cookies"/>
    <x v="3"/>
    <x v="96"/>
    <n v="2.1800000000000002"/>
    <n v="381.5"/>
  </r>
  <r>
    <d v="2020-10-10T00:00:00"/>
    <x v="0"/>
    <s v="New York"/>
    <s v="Cookies"/>
    <x v="2"/>
    <x v="13"/>
    <n v="1.8699999999999999"/>
    <n v="43.01"/>
  </r>
  <r>
    <d v="2020-10-13T00:00:00"/>
    <x v="1"/>
    <s v="San Diego"/>
    <s v="Bars"/>
    <x v="0"/>
    <x v="21"/>
    <n v="1.77"/>
    <n v="70.8"/>
  </r>
  <r>
    <d v="2020-10-16T00:00:00"/>
    <x v="0"/>
    <s v="Boston"/>
    <s v="Cookies"/>
    <x v="3"/>
    <x v="1"/>
    <n v="2.1800000000000002"/>
    <n v="189.66000000000003"/>
  </r>
  <r>
    <d v="2020-10-19T00:00:00"/>
    <x v="0"/>
    <s v="Boston"/>
    <s v="Bars"/>
    <x v="0"/>
    <x v="15"/>
    <n v="1.77"/>
    <n v="76.11"/>
  </r>
  <r>
    <d v="2020-10-22T00:00:00"/>
    <x v="0"/>
    <s v="Boston"/>
    <s v="Crackers"/>
    <x v="1"/>
    <x v="19"/>
    <n v="3.49"/>
    <n v="104.7"/>
  </r>
  <r>
    <d v="2020-10-25T00:00:00"/>
    <x v="1"/>
    <s v="Los Angeles"/>
    <s v="Bars"/>
    <x v="0"/>
    <x v="97"/>
    <n v="1.77"/>
    <n v="61.95"/>
  </r>
  <r>
    <d v="2020-10-28T00:00:00"/>
    <x v="0"/>
    <s v="New York"/>
    <s v="Bars"/>
    <x v="6"/>
    <x v="82"/>
    <n v="1.87"/>
    <n v="106.59"/>
  </r>
  <r>
    <d v="2020-10-31T00:00:00"/>
    <x v="0"/>
    <s v="New York"/>
    <s v="Snacks"/>
    <x v="4"/>
    <x v="36"/>
    <n v="1.68"/>
    <n v="42"/>
  </r>
  <r>
    <d v="2020-11-03T00:00:00"/>
    <x v="1"/>
    <s v="San Diego"/>
    <s v="Cookies"/>
    <x v="2"/>
    <x v="51"/>
    <n v="1.87"/>
    <n v="44.88"/>
  </r>
  <r>
    <d v="2020-11-06T00:00:00"/>
    <x v="0"/>
    <s v="Boston"/>
    <s v="Bars"/>
    <x v="6"/>
    <x v="76"/>
    <n v="1.87"/>
    <n v="155.21"/>
  </r>
  <r>
    <d v="2020-11-09T00:00:00"/>
    <x v="0"/>
    <s v="Boston"/>
    <s v="Cookies"/>
    <x v="5"/>
    <x v="98"/>
    <n v="2.8400000000000003"/>
    <n v="352.16"/>
  </r>
  <r>
    <d v="2020-11-12T00:00:00"/>
    <x v="1"/>
    <s v="Los Angeles"/>
    <s v="Bars"/>
    <x v="0"/>
    <x v="49"/>
    <n v="1.77"/>
    <n v="242.49"/>
  </r>
  <r>
    <d v="2020-11-15T00:00:00"/>
    <x v="0"/>
    <s v="New York"/>
    <s v="Cookies"/>
    <x v="3"/>
    <x v="99"/>
    <n v="2.1799999999999997"/>
    <n v="318.27999999999997"/>
  </r>
  <r>
    <d v="2020-11-18T00:00:00"/>
    <x v="0"/>
    <s v="New York"/>
    <s v="Cookies"/>
    <x v="2"/>
    <x v="78"/>
    <n v="1.8699999999999999"/>
    <n v="63.58"/>
  </r>
  <r>
    <d v="2020-11-21T00:00:00"/>
    <x v="1"/>
    <s v="San Diego"/>
    <s v="Bars"/>
    <x v="0"/>
    <x v="30"/>
    <n v="1.77"/>
    <n v="35.4"/>
  </r>
  <r>
    <d v="2020-11-24T00:00:00"/>
    <x v="0"/>
    <s v="Boston"/>
    <s v="Cookies"/>
    <x v="3"/>
    <x v="73"/>
    <n v="2.1799999999999997"/>
    <n v="303.02"/>
  </r>
  <r>
    <d v="2020-11-27T00:00:00"/>
    <x v="0"/>
    <s v="Boston"/>
    <s v="Cookies"/>
    <x v="2"/>
    <x v="100"/>
    <n v="1.8699999999999999"/>
    <n v="394.57"/>
  </r>
  <r>
    <d v="2020-11-30T00:00:00"/>
    <x v="0"/>
    <s v="Boston"/>
    <s v="Crackers"/>
    <x v="1"/>
    <x v="30"/>
    <n v="3.4899999999999998"/>
    <n v="69.8"/>
  </r>
  <r>
    <d v="2020-12-03T00:00:00"/>
    <x v="1"/>
    <s v="Los Angeles"/>
    <s v="Bars"/>
    <x v="6"/>
    <x v="17"/>
    <n v="1.87"/>
    <n v="78.540000000000006"/>
  </r>
  <r>
    <d v="2020-12-06T00:00:00"/>
    <x v="1"/>
    <s v="Los Angeles"/>
    <s v="Cookies"/>
    <x v="5"/>
    <x v="8"/>
    <n v="2.84"/>
    <n v="284"/>
  </r>
  <r>
    <d v="2020-12-09T00:00:00"/>
    <x v="0"/>
    <s v="New York"/>
    <s v="Bars"/>
    <x v="0"/>
    <x v="4"/>
    <n v="1.7700000000000002"/>
    <n v="67.260000000000005"/>
  </r>
  <r>
    <d v="2020-12-12T00:00:00"/>
    <x v="0"/>
    <s v="New York"/>
    <s v="Crackers"/>
    <x v="1"/>
    <x v="36"/>
    <n v="3.49"/>
    <n v="87.25"/>
  </r>
  <r>
    <d v="2020-12-15T00:00:00"/>
    <x v="1"/>
    <s v="San Diego"/>
    <s v="Cookies"/>
    <x v="2"/>
    <x v="101"/>
    <n v="1.87"/>
    <n v="179.52"/>
  </r>
  <r>
    <d v="2020-12-18T00:00:00"/>
    <x v="0"/>
    <s v="Boston"/>
    <s v="Cookies"/>
    <x v="3"/>
    <x v="78"/>
    <n v="2.1800000000000002"/>
    <n v="74.12"/>
  </r>
  <r>
    <d v="2020-12-21T00:00:00"/>
    <x v="0"/>
    <s v="Boston"/>
    <s v="Cookies"/>
    <x v="2"/>
    <x v="102"/>
    <n v="1.8699999999999999"/>
    <n v="458.15"/>
  </r>
  <r>
    <d v="2020-12-24T00:00:00"/>
    <x v="0"/>
    <s v="Boston"/>
    <s v="Crackers"/>
    <x v="1"/>
    <x v="19"/>
    <n v="3.49"/>
    <n v="104.7"/>
  </r>
  <r>
    <d v="2020-12-27T00:00:00"/>
    <x v="1"/>
    <s v="Los Angeles"/>
    <s v="Bars"/>
    <x v="6"/>
    <x v="19"/>
    <n v="1.87"/>
    <n v="56.1"/>
  </r>
  <r>
    <d v="2020-12-30T00:00:00"/>
    <x v="1"/>
    <s v="Los Angeles"/>
    <s v="Cookies"/>
    <x v="5"/>
    <x v="12"/>
    <n v="2.84"/>
    <n v="124.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4:B108" firstHeaderRow="1" firstDataRow="1" firstDataCol="1" rowPageCount="2" colPageCount="1"/>
  <pivotFields count="8">
    <pivotField numFmtId="14" showAll="0"/>
    <pivotField axis="axisPage" showAll="0">
      <items count="3">
        <item x="0"/>
        <item x="1"/>
        <item t="default"/>
      </items>
    </pivotField>
    <pivotField showAll="0"/>
    <pivotField showAll="0"/>
    <pivotField axis="axisPage" showAll="0">
      <items count="10">
        <item x="3"/>
        <item x="8"/>
        <item x="6"/>
        <item x="0"/>
        <item x="2"/>
        <item x="5"/>
        <item x="4"/>
        <item x="7"/>
        <item x="1"/>
        <item t="default"/>
      </items>
    </pivotField>
    <pivotField axis="axisRow" dataField="1" showAll="0">
      <items count="104">
        <item x="30"/>
        <item x="37"/>
        <item x="92"/>
        <item x="13"/>
        <item x="51"/>
        <item x="36"/>
        <item x="88"/>
        <item x="14"/>
        <item x="9"/>
        <item x="71"/>
        <item x="19"/>
        <item x="11"/>
        <item x="65"/>
        <item x="0"/>
        <item x="78"/>
        <item x="97"/>
        <item x="10"/>
        <item x="91"/>
        <item x="4"/>
        <item x="24"/>
        <item x="21"/>
        <item x="74"/>
        <item x="17"/>
        <item x="15"/>
        <item x="12"/>
        <item x="56"/>
        <item x="66"/>
        <item x="81"/>
        <item x="28"/>
        <item x="38"/>
        <item x="94"/>
        <item x="7"/>
        <item x="45"/>
        <item x="31"/>
        <item x="5"/>
        <item x="39"/>
        <item x="48"/>
        <item x="82"/>
        <item x="2"/>
        <item x="90"/>
        <item x="20"/>
        <item x="67"/>
        <item x="33"/>
        <item x="32"/>
        <item x="59"/>
        <item x="69"/>
        <item x="84"/>
        <item x="23"/>
        <item x="52"/>
        <item x="93"/>
        <item x="47"/>
        <item x="89"/>
        <item x="55"/>
        <item x="42"/>
        <item x="41"/>
        <item x="61"/>
        <item x="95"/>
        <item x="54"/>
        <item x="60"/>
        <item x="3"/>
        <item x="76"/>
        <item x="86"/>
        <item x="18"/>
        <item x="22"/>
        <item x="1"/>
        <item x="68"/>
        <item x="27"/>
        <item x="72"/>
        <item x="80"/>
        <item x="101"/>
        <item x="70"/>
        <item x="8"/>
        <item x="77"/>
        <item x="25"/>
        <item x="34"/>
        <item x="50"/>
        <item x="53"/>
        <item x="44"/>
        <item x="62"/>
        <item x="83"/>
        <item x="87"/>
        <item x="16"/>
        <item x="98"/>
        <item x="85"/>
        <item x="58"/>
        <item x="29"/>
        <item x="46"/>
        <item x="49"/>
        <item x="35"/>
        <item x="73"/>
        <item x="64"/>
        <item x="57"/>
        <item x="99"/>
        <item x="6"/>
        <item x="96"/>
        <item x="26"/>
        <item x="100"/>
        <item x="63"/>
        <item x="79"/>
        <item x="75"/>
        <item x="102"/>
        <item x="40"/>
        <item x="43"/>
        <item t="default"/>
      </items>
    </pivotField>
    <pivotField showAll="0"/>
    <pivotField showAll="0"/>
  </pivotFields>
  <rowFields count="1">
    <field x="5"/>
  </rowFields>
  <rowItems count="1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 t="grand">
      <x/>
    </i>
  </rowItems>
  <colItems count="1">
    <i/>
  </colItems>
  <pageFields count="2">
    <pageField fld="4" hier="-1"/>
    <pageField fld="1" hier="-1"/>
  </pageFields>
  <dataFields count="1">
    <dataField name="Count of Quantity" fld="5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68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4:B108" firstHeaderRow="1" firstDataRow="1" firstDataCol="1" rowPageCount="2" colPageCount="1"/>
  <pivotFields count="8">
    <pivotField numFmtId="14" showAll="0"/>
    <pivotField axis="axisPage" showAll="0">
      <items count="3">
        <item x="0"/>
        <item x="1"/>
        <item t="default"/>
      </items>
    </pivotField>
    <pivotField showAll="0"/>
    <pivotField showAll="0"/>
    <pivotField axis="axisPage" showAll="0">
      <items count="10">
        <item x="3"/>
        <item x="8"/>
        <item x="6"/>
        <item x="0"/>
        <item x="2"/>
        <item x="5"/>
        <item x="4"/>
        <item x="7"/>
        <item x="1"/>
        <item t="default"/>
      </items>
    </pivotField>
    <pivotField axis="axisRow" dataField="1" showAll="0">
      <items count="104">
        <item x="30"/>
        <item x="37"/>
        <item x="92"/>
        <item x="13"/>
        <item x="51"/>
        <item x="36"/>
        <item x="88"/>
        <item x="14"/>
        <item x="9"/>
        <item x="71"/>
        <item x="19"/>
        <item x="11"/>
        <item x="65"/>
        <item x="0"/>
        <item x="78"/>
        <item x="97"/>
        <item x="10"/>
        <item x="91"/>
        <item x="4"/>
        <item x="24"/>
        <item x="21"/>
        <item x="74"/>
        <item x="17"/>
        <item x="15"/>
        <item x="12"/>
        <item x="56"/>
        <item x="66"/>
        <item x="81"/>
        <item x="28"/>
        <item x="38"/>
        <item x="94"/>
        <item x="7"/>
        <item x="45"/>
        <item x="31"/>
        <item x="5"/>
        <item x="39"/>
        <item x="48"/>
        <item x="82"/>
        <item x="2"/>
        <item x="90"/>
        <item x="20"/>
        <item x="67"/>
        <item x="33"/>
        <item x="32"/>
        <item x="59"/>
        <item x="69"/>
        <item x="84"/>
        <item x="23"/>
        <item x="52"/>
        <item x="93"/>
        <item x="47"/>
        <item x="89"/>
        <item x="55"/>
        <item x="42"/>
        <item x="41"/>
        <item x="61"/>
        <item x="95"/>
        <item x="54"/>
        <item x="60"/>
        <item x="3"/>
        <item x="76"/>
        <item x="86"/>
        <item x="18"/>
        <item x="22"/>
        <item x="1"/>
        <item x="68"/>
        <item x="27"/>
        <item x="72"/>
        <item x="80"/>
        <item x="101"/>
        <item x="70"/>
        <item x="8"/>
        <item x="77"/>
        <item x="25"/>
        <item x="34"/>
        <item x="50"/>
        <item x="53"/>
        <item x="44"/>
        <item x="62"/>
        <item x="83"/>
        <item x="87"/>
        <item x="16"/>
        <item x="98"/>
        <item x="85"/>
        <item x="58"/>
        <item x="29"/>
        <item x="46"/>
        <item x="49"/>
        <item x="35"/>
        <item x="73"/>
        <item x="64"/>
        <item x="57"/>
        <item x="99"/>
        <item x="6"/>
        <item x="96"/>
        <item x="26"/>
        <item x="100"/>
        <item x="63"/>
        <item x="79"/>
        <item x="75"/>
        <item x="102"/>
        <item x="40"/>
        <item x="43"/>
        <item t="default"/>
      </items>
    </pivotField>
    <pivotField showAll="0"/>
    <pivotField showAll="0"/>
  </pivotFields>
  <rowFields count="1">
    <field x="5"/>
  </rowFields>
  <rowItems count="1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 t="grand">
      <x/>
    </i>
  </rowItems>
  <colItems count="1">
    <i/>
  </colItems>
  <pageFields count="2">
    <pageField fld="4" hier="-1"/>
    <pageField fld="1" hier="-1"/>
  </pageFields>
  <dataFields count="1">
    <dataField name="" fld="5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6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4:B108" firstHeaderRow="1" firstDataRow="1" firstDataCol="1" rowPageCount="2" colPageCount="1"/>
  <pivotFields count="8">
    <pivotField numFmtId="14" showAll="0"/>
    <pivotField axis="axisPage" showAll="0">
      <items count="3">
        <item x="0"/>
        <item x="1"/>
        <item t="default"/>
      </items>
    </pivotField>
    <pivotField showAll="0"/>
    <pivotField showAll="0"/>
    <pivotField axis="axisPage" showAll="0">
      <items count="10">
        <item x="3"/>
        <item x="8"/>
        <item x="6"/>
        <item x="0"/>
        <item x="2"/>
        <item x="5"/>
        <item x="4"/>
        <item x="7"/>
        <item x="1"/>
        <item t="default"/>
      </items>
    </pivotField>
    <pivotField axis="axisRow" dataField="1" showAll="0">
      <items count="104">
        <item x="30"/>
        <item x="37"/>
        <item x="92"/>
        <item x="13"/>
        <item x="51"/>
        <item x="36"/>
        <item x="88"/>
        <item x="14"/>
        <item x="9"/>
        <item x="71"/>
        <item x="19"/>
        <item x="11"/>
        <item x="65"/>
        <item x="0"/>
        <item x="78"/>
        <item x="97"/>
        <item x="10"/>
        <item x="91"/>
        <item x="4"/>
        <item x="24"/>
        <item x="21"/>
        <item x="74"/>
        <item x="17"/>
        <item x="15"/>
        <item x="12"/>
        <item x="56"/>
        <item x="66"/>
        <item x="81"/>
        <item x="28"/>
        <item x="38"/>
        <item x="94"/>
        <item x="7"/>
        <item x="45"/>
        <item x="31"/>
        <item x="5"/>
        <item x="39"/>
        <item x="48"/>
        <item x="82"/>
        <item x="2"/>
        <item x="90"/>
        <item x="20"/>
        <item x="67"/>
        <item x="33"/>
        <item x="32"/>
        <item x="59"/>
        <item x="69"/>
        <item x="84"/>
        <item x="23"/>
        <item x="52"/>
        <item x="93"/>
        <item x="47"/>
        <item x="89"/>
        <item x="55"/>
        <item x="42"/>
        <item x="41"/>
        <item x="61"/>
        <item x="95"/>
        <item x="54"/>
        <item x="60"/>
        <item x="3"/>
        <item x="76"/>
        <item x="86"/>
        <item x="18"/>
        <item x="22"/>
        <item x="1"/>
        <item x="68"/>
        <item x="27"/>
        <item x="72"/>
        <item x="80"/>
        <item x="101"/>
        <item x="70"/>
        <item x="8"/>
        <item x="77"/>
        <item x="25"/>
        <item x="34"/>
        <item x="50"/>
        <item x="53"/>
        <item x="44"/>
        <item x="62"/>
        <item x="83"/>
        <item x="87"/>
        <item x="16"/>
        <item x="98"/>
        <item x="85"/>
        <item x="58"/>
        <item x="29"/>
        <item x="46"/>
        <item x="49"/>
        <item x="35"/>
        <item x="73"/>
        <item x="64"/>
        <item x="57"/>
        <item x="99"/>
        <item x="6"/>
        <item x="96"/>
        <item x="26"/>
        <item x="100"/>
        <item x="63"/>
        <item x="79"/>
        <item x="75"/>
        <item x="102"/>
        <item x="40"/>
        <item x="43"/>
        <item t="default"/>
      </items>
    </pivotField>
    <pivotField showAll="0"/>
    <pivotField showAll="0"/>
  </pivotFields>
  <rowFields count="1">
    <field x="5"/>
  </rowFields>
  <rowItems count="1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 t="grand">
      <x/>
    </i>
  </rowItems>
  <colItems count="1">
    <i/>
  </colItems>
  <pageFields count="2">
    <pageField fld="4" hier="-1"/>
    <pageField fld="1" hier="-1"/>
  </pageFields>
  <dataFields count="1">
    <dataField name="Sum of Quantity2" fld="5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58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4:B108" firstHeaderRow="1" firstDataRow="1" firstDataCol="1" rowPageCount="2" colPageCount="1"/>
  <pivotFields count="8">
    <pivotField numFmtId="14" showAll="0"/>
    <pivotField axis="axisPage" showAll="0">
      <items count="3">
        <item x="0"/>
        <item x="1"/>
        <item t="default"/>
      </items>
    </pivotField>
    <pivotField showAll="0"/>
    <pivotField showAll="0"/>
    <pivotField axis="axisPage" showAll="0">
      <items count="10">
        <item x="3"/>
        <item x="8"/>
        <item x="6"/>
        <item x="0"/>
        <item x="2"/>
        <item x="5"/>
        <item x="4"/>
        <item x="7"/>
        <item x="1"/>
        <item t="default"/>
      </items>
    </pivotField>
    <pivotField axis="axisRow" dataField="1" showAll="0">
      <items count="104">
        <item x="30"/>
        <item x="37"/>
        <item x="92"/>
        <item x="13"/>
        <item x="51"/>
        <item x="36"/>
        <item x="88"/>
        <item x="14"/>
        <item x="9"/>
        <item x="71"/>
        <item x="19"/>
        <item x="11"/>
        <item x="65"/>
        <item x="0"/>
        <item x="78"/>
        <item x="97"/>
        <item x="10"/>
        <item x="91"/>
        <item x="4"/>
        <item x="24"/>
        <item x="21"/>
        <item x="74"/>
        <item x="17"/>
        <item x="15"/>
        <item x="12"/>
        <item x="56"/>
        <item x="66"/>
        <item x="81"/>
        <item x="28"/>
        <item x="38"/>
        <item x="94"/>
        <item x="7"/>
        <item x="45"/>
        <item x="31"/>
        <item x="5"/>
        <item x="39"/>
        <item x="48"/>
        <item x="82"/>
        <item x="2"/>
        <item x="90"/>
        <item x="20"/>
        <item x="67"/>
        <item x="33"/>
        <item x="32"/>
        <item x="59"/>
        <item x="69"/>
        <item x="84"/>
        <item x="23"/>
        <item x="52"/>
        <item x="93"/>
        <item x="47"/>
        <item x="89"/>
        <item x="55"/>
        <item x="42"/>
        <item x="41"/>
        <item x="61"/>
        <item x="95"/>
        <item x="54"/>
        <item x="60"/>
        <item x="3"/>
        <item x="76"/>
        <item x="86"/>
        <item x="18"/>
        <item x="22"/>
        <item x="1"/>
        <item x="68"/>
        <item x="27"/>
        <item x="72"/>
        <item x="80"/>
        <item x="101"/>
        <item x="70"/>
        <item x="8"/>
        <item x="77"/>
        <item x="25"/>
        <item x="34"/>
        <item x="50"/>
        <item x="53"/>
        <item x="44"/>
        <item x="62"/>
        <item x="83"/>
        <item x="87"/>
        <item x="16"/>
        <item x="98"/>
        <item x="85"/>
        <item x="58"/>
        <item x="29"/>
        <item x="46"/>
        <item x="49"/>
        <item x="35"/>
        <item x="73"/>
        <item x="64"/>
        <item x="57"/>
        <item x="99"/>
        <item x="6"/>
        <item x="96"/>
        <item x="26"/>
        <item x="100"/>
        <item x="63"/>
        <item x="79"/>
        <item x="75"/>
        <item x="102"/>
        <item x="40"/>
        <item x="43"/>
        <item t="default"/>
      </items>
    </pivotField>
    <pivotField showAll="0"/>
    <pivotField showAll="0"/>
  </pivotFields>
  <rowFields count="1">
    <field x="5"/>
  </rowFields>
  <rowItems count="1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 t="grand">
      <x/>
    </i>
  </rowItems>
  <colItems count="1">
    <i/>
  </colItems>
  <pageFields count="2">
    <pageField fld="4" hier="-1"/>
    <pageField fld="1" hier="-1"/>
  </pageFields>
  <dataFields count="1">
    <dataField name="Sum of Quantity2" fld="5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5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4:A5" firstHeaderRow="1" firstDataRow="1" firstDataCol="0" rowPageCount="2" colPageCount="1"/>
  <pivotFields count="8">
    <pivotField numFmtId="14" showAll="0"/>
    <pivotField axis="axisPage" showAll="0">
      <items count="3">
        <item x="0"/>
        <item x="1"/>
        <item t="default"/>
      </items>
    </pivotField>
    <pivotField showAll="0"/>
    <pivotField showAll="0"/>
    <pivotField axis="axisPage" showAll="0">
      <items count="10">
        <item x="3"/>
        <item x="8"/>
        <item x="6"/>
        <item x="0"/>
        <item x="2"/>
        <item x="5"/>
        <item x="4"/>
        <item x="7"/>
        <item x="1"/>
        <item t="default"/>
      </items>
    </pivotField>
    <pivotField dataField="1" showAll="0">
      <items count="104">
        <item x="30"/>
        <item x="37"/>
        <item x="92"/>
        <item x="13"/>
        <item x="51"/>
        <item x="36"/>
        <item x="88"/>
        <item x="14"/>
        <item x="9"/>
        <item x="71"/>
        <item x="19"/>
        <item x="11"/>
        <item x="65"/>
        <item x="0"/>
        <item x="78"/>
        <item x="97"/>
        <item x="10"/>
        <item x="91"/>
        <item x="4"/>
        <item x="24"/>
        <item x="21"/>
        <item x="74"/>
        <item x="17"/>
        <item x="15"/>
        <item x="12"/>
        <item x="56"/>
        <item x="66"/>
        <item x="81"/>
        <item x="28"/>
        <item x="38"/>
        <item x="94"/>
        <item x="7"/>
        <item x="45"/>
        <item x="31"/>
        <item x="5"/>
        <item x="39"/>
        <item x="48"/>
        <item x="82"/>
        <item x="2"/>
        <item x="90"/>
        <item x="20"/>
        <item x="67"/>
        <item x="33"/>
        <item x="32"/>
        <item x="59"/>
        <item x="69"/>
        <item x="84"/>
        <item x="23"/>
        <item x="52"/>
        <item x="93"/>
        <item x="47"/>
        <item x="89"/>
        <item x="55"/>
        <item x="42"/>
        <item x="41"/>
        <item x="61"/>
        <item x="95"/>
        <item x="54"/>
        <item x="60"/>
        <item x="3"/>
        <item x="76"/>
        <item x="86"/>
        <item x="18"/>
        <item x="22"/>
        <item x="1"/>
        <item x="68"/>
        <item x="27"/>
        <item x="72"/>
        <item x="80"/>
        <item x="101"/>
        <item x="70"/>
        <item x="8"/>
        <item x="77"/>
        <item x="25"/>
        <item x="34"/>
        <item x="50"/>
        <item x="53"/>
        <item x="44"/>
        <item x="62"/>
        <item x="83"/>
        <item x="87"/>
        <item x="16"/>
        <item x="98"/>
        <item x="85"/>
        <item x="58"/>
        <item x="29"/>
        <item x="46"/>
        <item x="49"/>
        <item x="35"/>
        <item x="73"/>
        <item x="64"/>
        <item x="57"/>
        <item x="99"/>
        <item x="6"/>
        <item x="96"/>
        <item x="26"/>
        <item x="100"/>
        <item x="63"/>
        <item x="79"/>
        <item x="75"/>
        <item x="102"/>
        <item x="40"/>
        <item x="43"/>
        <item t="default"/>
      </items>
    </pivotField>
    <pivotField showAll="0"/>
    <pivotField showAll="0"/>
  </pivotFields>
  <rowItems count="1">
    <i/>
  </rowItems>
  <colItems count="1">
    <i/>
  </colItems>
  <pageFields count="2">
    <pageField fld="4" hier="-1"/>
    <pageField fld="1" hier="-1"/>
  </pageFields>
  <dataFields count="1">
    <dataField name="Sum of Quantity2" fld="5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245" totalsRowShown="0">
  <sortState ref="A2:H245">
    <sortCondition ref="A2"/>
  </sortState>
  <tableColumns count="8">
    <tableColumn id="1" name="OrderDate" dataDxfId="2"/>
    <tableColumn id="2" name="Region"/>
    <tableColumn id="3" name="City"/>
    <tableColumn id="5" name="Category"/>
    <tableColumn id="6" name="Product"/>
    <tableColumn id="7" name="Quantity"/>
    <tableColumn id="4" name="UnitPrice" dataDxfId="1"/>
    <tableColumn id="14" name="TotalPrice" dataDxfId="0">
      <calculatedColumnFormula>Sales_Data[[#This Row],[Quantity]]*Sales_Data[[#This Row],[UnitPrice]]</calculatedColumnFormula>
    </tableColumn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08"/>
  <sheetViews>
    <sheetView tabSelected="1" workbookViewId="0">
      <selection activeCell="L12" sqref="L12"/>
    </sheetView>
  </sheetViews>
  <sheetFormatPr defaultRowHeight="15" x14ac:dyDescent="0.25"/>
  <cols>
    <col min="1" max="1" width="13.140625" bestFit="1" customWidth="1"/>
    <col min="2" max="2" width="16.85546875" bestFit="1" customWidth="1"/>
  </cols>
  <sheetData>
    <row r="1" spans="1:2" x14ac:dyDescent="0.25">
      <c r="A1" s="2" t="s">
        <v>4</v>
      </c>
      <c r="B1" t="s">
        <v>29</v>
      </c>
    </row>
    <row r="2" spans="1:2" x14ac:dyDescent="0.25">
      <c r="A2" s="2" t="s">
        <v>1</v>
      </c>
      <c r="B2" t="s">
        <v>29</v>
      </c>
    </row>
    <row r="4" spans="1:2" x14ac:dyDescent="0.25">
      <c r="A4" s="2" t="s">
        <v>27</v>
      </c>
      <c r="B4" t="s">
        <v>31</v>
      </c>
    </row>
    <row r="5" spans="1:2" x14ac:dyDescent="0.25">
      <c r="A5" s="3">
        <v>20</v>
      </c>
      <c r="B5" s="4">
        <v>7</v>
      </c>
    </row>
    <row r="6" spans="1:2" x14ac:dyDescent="0.25">
      <c r="A6" s="3">
        <v>21</v>
      </c>
      <c r="B6" s="4">
        <v>5</v>
      </c>
    </row>
    <row r="7" spans="1:2" x14ac:dyDescent="0.25">
      <c r="A7" s="3">
        <v>22</v>
      </c>
      <c r="B7" s="4">
        <v>2</v>
      </c>
    </row>
    <row r="8" spans="1:2" x14ac:dyDescent="0.25">
      <c r="A8" s="3">
        <v>23</v>
      </c>
      <c r="B8" s="4">
        <v>4</v>
      </c>
    </row>
    <row r="9" spans="1:2" x14ac:dyDescent="0.25">
      <c r="A9" s="3">
        <v>24</v>
      </c>
      <c r="B9" s="4">
        <v>4</v>
      </c>
    </row>
    <row r="10" spans="1:2" x14ac:dyDescent="0.25">
      <c r="A10" s="3">
        <v>25</v>
      </c>
      <c r="B10" s="4">
        <v>4</v>
      </c>
    </row>
    <row r="11" spans="1:2" x14ac:dyDescent="0.25">
      <c r="A11" s="3">
        <v>26</v>
      </c>
      <c r="B11" s="4">
        <v>3</v>
      </c>
    </row>
    <row r="12" spans="1:2" x14ac:dyDescent="0.25">
      <c r="A12" s="3">
        <v>27</v>
      </c>
      <c r="B12" s="4">
        <v>6</v>
      </c>
    </row>
    <row r="13" spans="1:2" x14ac:dyDescent="0.25">
      <c r="A13" s="3">
        <v>28</v>
      </c>
      <c r="B13" s="4">
        <v>6</v>
      </c>
    </row>
    <row r="14" spans="1:2" x14ac:dyDescent="0.25">
      <c r="A14" s="3">
        <v>29</v>
      </c>
      <c r="B14" s="4">
        <v>5</v>
      </c>
    </row>
    <row r="15" spans="1:2" x14ac:dyDescent="0.25">
      <c r="A15" s="3">
        <v>30</v>
      </c>
      <c r="B15" s="4">
        <v>10</v>
      </c>
    </row>
    <row r="16" spans="1:2" x14ac:dyDescent="0.25">
      <c r="A16" s="3">
        <v>31</v>
      </c>
      <c r="B16" s="4">
        <v>6</v>
      </c>
    </row>
    <row r="17" spans="1:2" x14ac:dyDescent="0.25">
      <c r="A17" s="3">
        <v>32</v>
      </c>
      <c r="B17" s="4">
        <v>4</v>
      </c>
    </row>
    <row r="18" spans="1:2" x14ac:dyDescent="0.25">
      <c r="A18" s="3">
        <v>33</v>
      </c>
      <c r="B18" s="4">
        <v>6</v>
      </c>
    </row>
    <row r="19" spans="1:2" x14ac:dyDescent="0.25">
      <c r="A19" s="3">
        <v>34</v>
      </c>
      <c r="B19" s="4">
        <v>6</v>
      </c>
    </row>
    <row r="20" spans="1:2" x14ac:dyDescent="0.25">
      <c r="A20" s="3">
        <v>35</v>
      </c>
      <c r="B20" s="4">
        <v>1</v>
      </c>
    </row>
    <row r="21" spans="1:2" x14ac:dyDescent="0.25">
      <c r="A21" s="3">
        <v>36</v>
      </c>
      <c r="B21" s="4">
        <v>4</v>
      </c>
    </row>
    <row r="22" spans="1:2" x14ac:dyDescent="0.25">
      <c r="A22" s="3">
        <v>37</v>
      </c>
      <c r="B22" s="4">
        <v>1</v>
      </c>
    </row>
    <row r="23" spans="1:2" x14ac:dyDescent="0.25">
      <c r="A23" s="3">
        <v>38</v>
      </c>
      <c r="B23" s="4">
        <v>8</v>
      </c>
    </row>
    <row r="24" spans="1:2" x14ac:dyDescent="0.25">
      <c r="A24" s="3">
        <v>39</v>
      </c>
      <c r="B24" s="4">
        <v>3</v>
      </c>
    </row>
    <row r="25" spans="1:2" x14ac:dyDescent="0.25">
      <c r="A25" s="3">
        <v>40</v>
      </c>
      <c r="B25" s="4">
        <v>7</v>
      </c>
    </row>
    <row r="26" spans="1:2" x14ac:dyDescent="0.25">
      <c r="A26" s="3">
        <v>41</v>
      </c>
      <c r="B26" s="4">
        <v>5</v>
      </c>
    </row>
    <row r="27" spans="1:2" x14ac:dyDescent="0.25">
      <c r="A27" s="3">
        <v>42</v>
      </c>
      <c r="B27" s="4">
        <v>4</v>
      </c>
    </row>
    <row r="28" spans="1:2" x14ac:dyDescent="0.25">
      <c r="A28" s="3">
        <v>43</v>
      </c>
      <c r="B28" s="4">
        <v>4</v>
      </c>
    </row>
    <row r="29" spans="1:2" x14ac:dyDescent="0.25">
      <c r="A29" s="3">
        <v>44</v>
      </c>
      <c r="B29" s="4">
        <v>4</v>
      </c>
    </row>
    <row r="30" spans="1:2" x14ac:dyDescent="0.25">
      <c r="A30" s="3">
        <v>45</v>
      </c>
      <c r="B30" s="4">
        <v>1</v>
      </c>
    </row>
    <row r="31" spans="1:2" x14ac:dyDescent="0.25">
      <c r="A31" s="3">
        <v>46</v>
      </c>
      <c r="B31" s="4">
        <v>1</v>
      </c>
    </row>
    <row r="32" spans="1:2" x14ac:dyDescent="0.25">
      <c r="A32" s="3">
        <v>47</v>
      </c>
      <c r="B32" s="4">
        <v>3</v>
      </c>
    </row>
    <row r="33" spans="1:2" x14ac:dyDescent="0.25">
      <c r="A33" s="3">
        <v>48</v>
      </c>
      <c r="B33" s="4">
        <v>2</v>
      </c>
    </row>
    <row r="34" spans="1:2" x14ac:dyDescent="0.25">
      <c r="A34" s="3">
        <v>49</v>
      </c>
      <c r="B34" s="4">
        <v>3</v>
      </c>
    </row>
    <row r="35" spans="1:2" x14ac:dyDescent="0.25">
      <c r="A35" s="3">
        <v>50</v>
      </c>
      <c r="B35" s="4">
        <v>1</v>
      </c>
    </row>
    <row r="36" spans="1:2" x14ac:dyDescent="0.25">
      <c r="A36" s="3">
        <v>51</v>
      </c>
      <c r="B36" s="4">
        <v>4</v>
      </c>
    </row>
    <row r="37" spans="1:2" x14ac:dyDescent="0.25">
      <c r="A37" s="3">
        <v>52</v>
      </c>
      <c r="B37" s="4">
        <v>2</v>
      </c>
    </row>
    <row r="38" spans="1:2" x14ac:dyDescent="0.25">
      <c r="A38" s="3">
        <v>53</v>
      </c>
      <c r="B38" s="4">
        <v>1</v>
      </c>
    </row>
    <row r="39" spans="1:2" x14ac:dyDescent="0.25">
      <c r="A39" s="3">
        <v>54</v>
      </c>
      <c r="B39" s="4">
        <v>1</v>
      </c>
    </row>
    <row r="40" spans="1:2" x14ac:dyDescent="0.25">
      <c r="A40" s="3">
        <v>55</v>
      </c>
      <c r="B40" s="4">
        <v>2</v>
      </c>
    </row>
    <row r="41" spans="1:2" x14ac:dyDescent="0.25">
      <c r="A41" s="3">
        <v>56</v>
      </c>
      <c r="B41" s="4">
        <v>3</v>
      </c>
    </row>
    <row r="42" spans="1:2" x14ac:dyDescent="0.25">
      <c r="A42" s="3">
        <v>57</v>
      </c>
      <c r="B42" s="4">
        <v>2</v>
      </c>
    </row>
    <row r="43" spans="1:2" x14ac:dyDescent="0.25">
      <c r="A43" s="3">
        <v>58</v>
      </c>
      <c r="B43" s="4">
        <v>6</v>
      </c>
    </row>
    <row r="44" spans="1:2" x14ac:dyDescent="0.25">
      <c r="A44" s="3">
        <v>60</v>
      </c>
      <c r="B44" s="4">
        <v>1</v>
      </c>
    </row>
    <row r="45" spans="1:2" x14ac:dyDescent="0.25">
      <c r="A45" s="3">
        <v>61</v>
      </c>
      <c r="B45" s="4">
        <v>2</v>
      </c>
    </row>
    <row r="46" spans="1:2" x14ac:dyDescent="0.25">
      <c r="A46" s="3">
        <v>62</v>
      </c>
      <c r="B46" s="4">
        <v>1</v>
      </c>
    </row>
    <row r="47" spans="1:2" x14ac:dyDescent="0.25">
      <c r="A47" s="3">
        <v>63</v>
      </c>
      <c r="B47" s="4">
        <v>2</v>
      </c>
    </row>
    <row r="48" spans="1:2" x14ac:dyDescent="0.25">
      <c r="A48" s="3">
        <v>64</v>
      </c>
      <c r="B48" s="4">
        <v>2</v>
      </c>
    </row>
    <row r="49" spans="1:2" x14ac:dyDescent="0.25">
      <c r="A49" s="3">
        <v>65</v>
      </c>
      <c r="B49" s="4">
        <v>4</v>
      </c>
    </row>
    <row r="50" spans="1:2" x14ac:dyDescent="0.25">
      <c r="A50" s="3">
        <v>66</v>
      </c>
      <c r="B50" s="4">
        <v>1</v>
      </c>
    </row>
    <row r="51" spans="1:2" x14ac:dyDescent="0.25">
      <c r="A51" s="3">
        <v>67</v>
      </c>
      <c r="B51" s="4">
        <v>1</v>
      </c>
    </row>
    <row r="52" spans="1:2" x14ac:dyDescent="0.25">
      <c r="A52" s="3">
        <v>68</v>
      </c>
      <c r="B52" s="4">
        <v>4</v>
      </c>
    </row>
    <row r="53" spans="1:2" x14ac:dyDescent="0.25">
      <c r="A53" s="3">
        <v>70</v>
      </c>
      <c r="B53" s="4">
        <v>1</v>
      </c>
    </row>
    <row r="54" spans="1:2" x14ac:dyDescent="0.25">
      <c r="A54" s="3">
        <v>71</v>
      </c>
      <c r="B54" s="4">
        <v>1</v>
      </c>
    </row>
    <row r="55" spans="1:2" x14ac:dyDescent="0.25">
      <c r="A55" s="3">
        <v>72</v>
      </c>
      <c r="B55" s="4">
        <v>1</v>
      </c>
    </row>
    <row r="56" spans="1:2" x14ac:dyDescent="0.25">
      <c r="A56" s="3">
        <v>73</v>
      </c>
      <c r="B56" s="4">
        <v>1</v>
      </c>
    </row>
    <row r="57" spans="1:2" x14ac:dyDescent="0.25">
      <c r="A57" s="3">
        <v>74</v>
      </c>
      <c r="B57" s="4">
        <v>1</v>
      </c>
    </row>
    <row r="58" spans="1:2" x14ac:dyDescent="0.25">
      <c r="A58" s="3">
        <v>75</v>
      </c>
      <c r="B58" s="4">
        <v>3</v>
      </c>
    </row>
    <row r="59" spans="1:2" x14ac:dyDescent="0.25">
      <c r="A59" s="3">
        <v>76</v>
      </c>
      <c r="B59" s="4">
        <v>1</v>
      </c>
    </row>
    <row r="60" spans="1:2" x14ac:dyDescent="0.25">
      <c r="A60" s="3">
        <v>77</v>
      </c>
      <c r="B60" s="4">
        <v>3</v>
      </c>
    </row>
    <row r="61" spans="1:2" x14ac:dyDescent="0.25">
      <c r="A61" s="3">
        <v>79</v>
      </c>
      <c r="B61" s="4">
        <v>1</v>
      </c>
    </row>
    <row r="62" spans="1:2" x14ac:dyDescent="0.25">
      <c r="A62" s="3">
        <v>80</v>
      </c>
      <c r="B62" s="4">
        <v>2</v>
      </c>
    </row>
    <row r="63" spans="1:2" x14ac:dyDescent="0.25">
      <c r="A63" s="3">
        <v>81</v>
      </c>
      <c r="B63" s="4">
        <v>1</v>
      </c>
    </row>
    <row r="64" spans="1:2" x14ac:dyDescent="0.25">
      <c r="A64" s="3">
        <v>82</v>
      </c>
      <c r="B64" s="4">
        <v>2</v>
      </c>
    </row>
    <row r="65" spans="1:2" x14ac:dyDescent="0.25">
      <c r="A65" s="3">
        <v>83</v>
      </c>
      <c r="B65" s="4">
        <v>2</v>
      </c>
    </row>
    <row r="66" spans="1:2" x14ac:dyDescent="0.25">
      <c r="A66" s="3">
        <v>84</v>
      </c>
      <c r="B66" s="4">
        <v>1</v>
      </c>
    </row>
    <row r="67" spans="1:2" x14ac:dyDescent="0.25">
      <c r="A67" s="3">
        <v>85</v>
      </c>
      <c r="B67" s="4">
        <v>1</v>
      </c>
    </row>
    <row r="68" spans="1:2" x14ac:dyDescent="0.25">
      <c r="A68" s="3">
        <v>86</v>
      </c>
      <c r="B68" s="4">
        <v>2</v>
      </c>
    </row>
    <row r="69" spans="1:2" x14ac:dyDescent="0.25">
      <c r="A69" s="3">
        <v>87</v>
      </c>
      <c r="B69" s="4">
        <v>2</v>
      </c>
    </row>
    <row r="70" spans="1:2" x14ac:dyDescent="0.25">
      <c r="A70" s="3">
        <v>90</v>
      </c>
      <c r="B70" s="4">
        <v>3</v>
      </c>
    </row>
    <row r="71" spans="1:2" x14ac:dyDescent="0.25">
      <c r="A71" s="3">
        <v>91</v>
      </c>
      <c r="B71" s="4">
        <v>1</v>
      </c>
    </row>
    <row r="72" spans="1:2" x14ac:dyDescent="0.25">
      <c r="A72" s="3">
        <v>92</v>
      </c>
      <c r="B72" s="4">
        <v>1</v>
      </c>
    </row>
    <row r="73" spans="1:2" x14ac:dyDescent="0.25">
      <c r="A73" s="3">
        <v>93</v>
      </c>
      <c r="B73" s="4">
        <v>1</v>
      </c>
    </row>
    <row r="74" spans="1:2" x14ac:dyDescent="0.25">
      <c r="A74" s="3">
        <v>96</v>
      </c>
      <c r="B74" s="4">
        <v>1</v>
      </c>
    </row>
    <row r="75" spans="1:2" x14ac:dyDescent="0.25">
      <c r="A75" s="3">
        <v>97</v>
      </c>
      <c r="B75" s="4">
        <v>2</v>
      </c>
    </row>
    <row r="76" spans="1:2" x14ac:dyDescent="0.25">
      <c r="A76" s="3">
        <v>100</v>
      </c>
      <c r="B76" s="4">
        <v>2</v>
      </c>
    </row>
    <row r="77" spans="1:2" x14ac:dyDescent="0.25">
      <c r="A77" s="3">
        <v>102</v>
      </c>
      <c r="B77" s="4">
        <v>1</v>
      </c>
    </row>
    <row r="78" spans="1:2" x14ac:dyDescent="0.25">
      <c r="A78" s="3">
        <v>103</v>
      </c>
      <c r="B78" s="4">
        <v>3</v>
      </c>
    </row>
    <row r="79" spans="1:2" x14ac:dyDescent="0.25">
      <c r="A79" s="3">
        <v>105</v>
      </c>
      <c r="B79" s="4">
        <v>1</v>
      </c>
    </row>
    <row r="80" spans="1:2" x14ac:dyDescent="0.25">
      <c r="A80" s="3">
        <v>107</v>
      </c>
      <c r="B80" s="4">
        <v>1</v>
      </c>
    </row>
    <row r="81" spans="1:2" x14ac:dyDescent="0.25">
      <c r="A81" s="3">
        <v>109</v>
      </c>
      <c r="B81" s="4">
        <v>1</v>
      </c>
    </row>
    <row r="82" spans="1:2" x14ac:dyDescent="0.25">
      <c r="A82" s="3">
        <v>110</v>
      </c>
      <c r="B82" s="4">
        <v>2</v>
      </c>
    </row>
    <row r="83" spans="1:2" x14ac:dyDescent="0.25">
      <c r="A83" s="3">
        <v>114</v>
      </c>
      <c r="B83" s="4">
        <v>1</v>
      </c>
    </row>
    <row r="84" spans="1:2" x14ac:dyDescent="0.25">
      <c r="A84" s="3">
        <v>118</v>
      </c>
      <c r="B84" s="4">
        <v>1</v>
      </c>
    </row>
    <row r="85" spans="1:2" x14ac:dyDescent="0.25">
      <c r="A85" s="3">
        <v>120</v>
      </c>
      <c r="B85" s="4">
        <v>1</v>
      </c>
    </row>
    <row r="86" spans="1:2" x14ac:dyDescent="0.25">
      <c r="A86" s="3">
        <v>123</v>
      </c>
      <c r="B86" s="4">
        <v>2</v>
      </c>
    </row>
    <row r="87" spans="1:2" x14ac:dyDescent="0.25">
      <c r="A87" s="3">
        <v>124</v>
      </c>
      <c r="B87" s="4">
        <v>1</v>
      </c>
    </row>
    <row r="88" spans="1:2" x14ac:dyDescent="0.25">
      <c r="A88" s="3">
        <v>129</v>
      </c>
      <c r="B88" s="4">
        <v>1</v>
      </c>
    </row>
    <row r="89" spans="1:2" x14ac:dyDescent="0.25">
      <c r="A89" s="3">
        <v>133</v>
      </c>
      <c r="B89" s="4">
        <v>1</v>
      </c>
    </row>
    <row r="90" spans="1:2" x14ac:dyDescent="0.25">
      <c r="A90" s="3">
        <v>134</v>
      </c>
      <c r="B90" s="4">
        <v>1</v>
      </c>
    </row>
    <row r="91" spans="1:2" x14ac:dyDescent="0.25">
      <c r="A91" s="3">
        <v>136</v>
      </c>
      <c r="B91" s="4">
        <v>2</v>
      </c>
    </row>
    <row r="92" spans="1:2" x14ac:dyDescent="0.25">
      <c r="A92" s="3">
        <v>137</v>
      </c>
      <c r="B92" s="4">
        <v>2</v>
      </c>
    </row>
    <row r="93" spans="1:2" x14ac:dyDescent="0.25">
      <c r="A93" s="3">
        <v>138</v>
      </c>
      <c r="B93" s="4">
        <v>1</v>
      </c>
    </row>
    <row r="94" spans="1:2" x14ac:dyDescent="0.25">
      <c r="A94" s="3">
        <v>139</v>
      </c>
      <c r="B94" s="4">
        <v>2</v>
      </c>
    </row>
    <row r="95" spans="1:2" x14ac:dyDescent="0.25">
      <c r="A95" s="3">
        <v>141</v>
      </c>
      <c r="B95" s="4">
        <v>1</v>
      </c>
    </row>
    <row r="96" spans="1:2" x14ac:dyDescent="0.25">
      <c r="A96" s="3">
        <v>143</v>
      </c>
      <c r="B96" s="4">
        <v>1</v>
      </c>
    </row>
    <row r="97" spans="1:2" x14ac:dyDescent="0.25">
      <c r="A97" s="3">
        <v>146</v>
      </c>
      <c r="B97" s="4">
        <v>1</v>
      </c>
    </row>
    <row r="98" spans="1:2" x14ac:dyDescent="0.25">
      <c r="A98" s="3">
        <v>149</v>
      </c>
      <c r="B98" s="4">
        <v>1</v>
      </c>
    </row>
    <row r="99" spans="1:2" x14ac:dyDescent="0.25">
      <c r="A99" s="3">
        <v>175</v>
      </c>
      <c r="B99" s="4">
        <v>1</v>
      </c>
    </row>
    <row r="100" spans="1:2" x14ac:dyDescent="0.25">
      <c r="A100" s="3">
        <v>193</v>
      </c>
      <c r="B100" s="4">
        <v>1</v>
      </c>
    </row>
    <row r="101" spans="1:2" x14ac:dyDescent="0.25">
      <c r="A101" s="3">
        <v>211</v>
      </c>
      <c r="B101" s="4">
        <v>1</v>
      </c>
    </row>
    <row r="102" spans="1:2" x14ac:dyDescent="0.25">
      <c r="A102" s="3">
        <v>224</v>
      </c>
      <c r="B102" s="4">
        <v>1</v>
      </c>
    </row>
    <row r="103" spans="1:2" x14ac:dyDescent="0.25">
      <c r="A103" s="3">
        <v>232</v>
      </c>
      <c r="B103" s="4">
        <v>1</v>
      </c>
    </row>
    <row r="104" spans="1:2" x14ac:dyDescent="0.25">
      <c r="A104" s="3">
        <v>237</v>
      </c>
      <c r="B104" s="4">
        <v>1</v>
      </c>
    </row>
    <row r="105" spans="1:2" x14ac:dyDescent="0.25">
      <c r="A105" s="3">
        <v>245</v>
      </c>
      <c r="B105" s="4">
        <v>1</v>
      </c>
    </row>
    <row r="106" spans="1:2" x14ac:dyDescent="0.25">
      <c r="A106" s="3">
        <v>288</v>
      </c>
      <c r="B106" s="4">
        <v>1</v>
      </c>
    </row>
    <row r="107" spans="1:2" x14ac:dyDescent="0.25">
      <c r="A107" s="3">
        <v>306</v>
      </c>
      <c r="B107" s="4">
        <v>1</v>
      </c>
    </row>
    <row r="108" spans="1:2" x14ac:dyDescent="0.25">
      <c r="A108" s="3" t="s">
        <v>28</v>
      </c>
      <c r="B108" s="4">
        <v>244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08"/>
  <sheetViews>
    <sheetView workbookViewId="0"/>
  </sheetViews>
  <sheetFormatPr defaultRowHeight="15" x14ac:dyDescent="0.25"/>
  <cols>
    <col min="1" max="1" width="13.140625" bestFit="1" customWidth="1"/>
    <col min="2" max="2" width="7.140625" customWidth="1"/>
  </cols>
  <sheetData>
    <row r="1" spans="1:2" x14ac:dyDescent="0.25">
      <c r="A1" s="2" t="s">
        <v>4</v>
      </c>
      <c r="B1" t="s">
        <v>29</v>
      </c>
    </row>
    <row r="2" spans="1:2" x14ac:dyDescent="0.25">
      <c r="A2" s="2" t="s">
        <v>1</v>
      </c>
      <c r="B2" t="s">
        <v>29</v>
      </c>
    </row>
    <row r="4" spans="1:2" x14ac:dyDescent="0.25">
      <c r="A4" s="2" t="s">
        <v>27</v>
      </c>
    </row>
    <row r="5" spans="1:2" x14ac:dyDescent="0.25">
      <c r="A5" s="3">
        <v>20</v>
      </c>
      <c r="B5" s="4">
        <v>7</v>
      </c>
    </row>
    <row r="6" spans="1:2" x14ac:dyDescent="0.25">
      <c r="A6" s="3">
        <v>21</v>
      </c>
      <c r="B6" s="4">
        <v>5</v>
      </c>
    </row>
    <row r="7" spans="1:2" x14ac:dyDescent="0.25">
      <c r="A7" s="3">
        <v>22</v>
      </c>
      <c r="B7" s="4">
        <v>2</v>
      </c>
    </row>
    <row r="8" spans="1:2" x14ac:dyDescent="0.25">
      <c r="A8" s="3">
        <v>23</v>
      </c>
      <c r="B8" s="4">
        <v>4</v>
      </c>
    </row>
    <row r="9" spans="1:2" x14ac:dyDescent="0.25">
      <c r="A9" s="3">
        <v>24</v>
      </c>
      <c r="B9" s="4">
        <v>4</v>
      </c>
    </row>
    <row r="10" spans="1:2" x14ac:dyDescent="0.25">
      <c r="A10" s="3">
        <v>25</v>
      </c>
      <c r="B10" s="4">
        <v>4</v>
      </c>
    </row>
    <row r="11" spans="1:2" x14ac:dyDescent="0.25">
      <c r="A11" s="3">
        <v>26</v>
      </c>
      <c r="B11" s="4">
        <v>3</v>
      </c>
    </row>
    <row r="12" spans="1:2" x14ac:dyDescent="0.25">
      <c r="A12" s="3">
        <v>27</v>
      </c>
      <c r="B12" s="4">
        <v>6</v>
      </c>
    </row>
    <row r="13" spans="1:2" x14ac:dyDescent="0.25">
      <c r="A13" s="3">
        <v>28</v>
      </c>
      <c r="B13" s="4">
        <v>6</v>
      </c>
    </row>
    <row r="14" spans="1:2" x14ac:dyDescent="0.25">
      <c r="A14" s="3">
        <v>29</v>
      </c>
      <c r="B14" s="4">
        <v>5</v>
      </c>
    </row>
    <row r="15" spans="1:2" x14ac:dyDescent="0.25">
      <c r="A15" s="3">
        <v>30</v>
      </c>
      <c r="B15" s="4">
        <v>10</v>
      </c>
    </row>
    <row r="16" spans="1:2" x14ac:dyDescent="0.25">
      <c r="A16" s="3">
        <v>31</v>
      </c>
      <c r="B16" s="4">
        <v>6</v>
      </c>
    </row>
    <row r="17" spans="1:2" x14ac:dyDescent="0.25">
      <c r="A17" s="3">
        <v>32</v>
      </c>
      <c r="B17" s="4">
        <v>4</v>
      </c>
    </row>
    <row r="18" spans="1:2" x14ac:dyDescent="0.25">
      <c r="A18" s="3">
        <v>33</v>
      </c>
      <c r="B18" s="4">
        <v>6</v>
      </c>
    </row>
    <row r="19" spans="1:2" x14ac:dyDescent="0.25">
      <c r="A19" s="3">
        <v>34</v>
      </c>
      <c r="B19" s="4">
        <v>6</v>
      </c>
    </row>
    <row r="20" spans="1:2" x14ac:dyDescent="0.25">
      <c r="A20" s="3">
        <v>35</v>
      </c>
      <c r="B20" s="4">
        <v>1</v>
      </c>
    </row>
    <row r="21" spans="1:2" x14ac:dyDescent="0.25">
      <c r="A21" s="3">
        <v>36</v>
      </c>
      <c r="B21" s="4">
        <v>4</v>
      </c>
    </row>
    <row r="22" spans="1:2" x14ac:dyDescent="0.25">
      <c r="A22" s="3">
        <v>37</v>
      </c>
      <c r="B22" s="4">
        <v>1</v>
      </c>
    </row>
    <row r="23" spans="1:2" x14ac:dyDescent="0.25">
      <c r="A23" s="3">
        <v>38</v>
      </c>
      <c r="B23" s="4">
        <v>8</v>
      </c>
    </row>
    <row r="24" spans="1:2" x14ac:dyDescent="0.25">
      <c r="A24" s="3">
        <v>39</v>
      </c>
      <c r="B24" s="4">
        <v>3</v>
      </c>
    </row>
    <row r="25" spans="1:2" x14ac:dyDescent="0.25">
      <c r="A25" s="3">
        <v>40</v>
      </c>
      <c r="B25" s="4">
        <v>7</v>
      </c>
    </row>
    <row r="26" spans="1:2" x14ac:dyDescent="0.25">
      <c r="A26" s="3">
        <v>41</v>
      </c>
      <c r="B26" s="4">
        <v>5</v>
      </c>
    </row>
    <row r="27" spans="1:2" x14ac:dyDescent="0.25">
      <c r="A27" s="3">
        <v>42</v>
      </c>
      <c r="B27" s="4">
        <v>4</v>
      </c>
    </row>
    <row r="28" spans="1:2" x14ac:dyDescent="0.25">
      <c r="A28" s="3">
        <v>43</v>
      </c>
      <c r="B28" s="4">
        <v>4</v>
      </c>
    </row>
    <row r="29" spans="1:2" x14ac:dyDescent="0.25">
      <c r="A29" s="3">
        <v>44</v>
      </c>
      <c r="B29" s="4">
        <v>4</v>
      </c>
    </row>
    <row r="30" spans="1:2" x14ac:dyDescent="0.25">
      <c r="A30" s="3">
        <v>45</v>
      </c>
      <c r="B30" s="4">
        <v>1</v>
      </c>
    </row>
    <row r="31" spans="1:2" x14ac:dyDescent="0.25">
      <c r="A31" s="3">
        <v>46</v>
      </c>
      <c r="B31" s="4">
        <v>1</v>
      </c>
    </row>
    <row r="32" spans="1:2" x14ac:dyDescent="0.25">
      <c r="A32" s="3">
        <v>47</v>
      </c>
      <c r="B32" s="4">
        <v>3</v>
      </c>
    </row>
    <row r="33" spans="1:2" x14ac:dyDescent="0.25">
      <c r="A33" s="3">
        <v>48</v>
      </c>
      <c r="B33" s="4">
        <v>2</v>
      </c>
    </row>
    <row r="34" spans="1:2" x14ac:dyDescent="0.25">
      <c r="A34" s="3">
        <v>49</v>
      </c>
      <c r="B34" s="4">
        <v>3</v>
      </c>
    </row>
    <row r="35" spans="1:2" x14ac:dyDescent="0.25">
      <c r="A35" s="3">
        <v>50</v>
      </c>
      <c r="B35" s="4">
        <v>1</v>
      </c>
    </row>
    <row r="36" spans="1:2" x14ac:dyDescent="0.25">
      <c r="A36" s="3">
        <v>51</v>
      </c>
      <c r="B36" s="4">
        <v>4</v>
      </c>
    </row>
    <row r="37" spans="1:2" x14ac:dyDescent="0.25">
      <c r="A37" s="3">
        <v>52</v>
      </c>
      <c r="B37" s="4">
        <v>2</v>
      </c>
    </row>
    <row r="38" spans="1:2" x14ac:dyDescent="0.25">
      <c r="A38" s="3">
        <v>53</v>
      </c>
      <c r="B38" s="4">
        <v>1</v>
      </c>
    </row>
    <row r="39" spans="1:2" x14ac:dyDescent="0.25">
      <c r="A39" s="3">
        <v>54</v>
      </c>
      <c r="B39" s="4">
        <v>1</v>
      </c>
    </row>
    <row r="40" spans="1:2" x14ac:dyDescent="0.25">
      <c r="A40" s="3">
        <v>55</v>
      </c>
      <c r="B40" s="4">
        <v>2</v>
      </c>
    </row>
    <row r="41" spans="1:2" x14ac:dyDescent="0.25">
      <c r="A41" s="3">
        <v>56</v>
      </c>
      <c r="B41" s="4">
        <v>3</v>
      </c>
    </row>
    <row r="42" spans="1:2" x14ac:dyDescent="0.25">
      <c r="A42" s="3">
        <v>57</v>
      </c>
      <c r="B42" s="4">
        <v>2</v>
      </c>
    </row>
    <row r="43" spans="1:2" x14ac:dyDescent="0.25">
      <c r="A43" s="3">
        <v>58</v>
      </c>
      <c r="B43" s="4">
        <v>6</v>
      </c>
    </row>
    <row r="44" spans="1:2" x14ac:dyDescent="0.25">
      <c r="A44" s="3">
        <v>60</v>
      </c>
      <c r="B44" s="4">
        <v>1</v>
      </c>
    </row>
    <row r="45" spans="1:2" x14ac:dyDescent="0.25">
      <c r="A45" s="3">
        <v>61</v>
      </c>
      <c r="B45" s="4">
        <v>2</v>
      </c>
    </row>
    <row r="46" spans="1:2" x14ac:dyDescent="0.25">
      <c r="A46" s="3">
        <v>62</v>
      </c>
      <c r="B46" s="4">
        <v>1</v>
      </c>
    </row>
    <row r="47" spans="1:2" x14ac:dyDescent="0.25">
      <c r="A47" s="3">
        <v>63</v>
      </c>
      <c r="B47" s="4">
        <v>2</v>
      </c>
    </row>
    <row r="48" spans="1:2" x14ac:dyDescent="0.25">
      <c r="A48" s="3">
        <v>64</v>
      </c>
      <c r="B48" s="4">
        <v>2</v>
      </c>
    </row>
    <row r="49" spans="1:2" x14ac:dyDescent="0.25">
      <c r="A49" s="3">
        <v>65</v>
      </c>
      <c r="B49" s="4">
        <v>4</v>
      </c>
    </row>
    <row r="50" spans="1:2" x14ac:dyDescent="0.25">
      <c r="A50" s="3">
        <v>66</v>
      </c>
      <c r="B50" s="4">
        <v>1</v>
      </c>
    </row>
    <row r="51" spans="1:2" x14ac:dyDescent="0.25">
      <c r="A51" s="3">
        <v>67</v>
      </c>
      <c r="B51" s="4">
        <v>1</v>
      </c>
    </row>
    <row r="52" spans="1:2" x14ac:dyDescent="0.25">
      <c r="A52" s="3">
        <v>68</v>
      </c>
      <c r="B52" s="4">
        <v>4</v>
      </c>
    </row>
    <row r="53" spans="1:2" x14ac:dyDescent="0.25">
      <c r="A53" s="3">
        <v>70</v>
      </c>
      <c r="B53" s="4">
        <v>1</v>
      </c>
    </row>
    <row r="54" spans="1:2" x14ac:dyDescent="0.25">
      <c r="A54" s="3">
        <v>71</v>
      </c>
      <c r="B54" s="4">
        <v>1</v>
      </c>
    </row>
    <row r="55" spans="1:2" x14ac:dyDescent="0.25">
      <c r="A55" s="3">
        <v>72</v>
      </c>
      <c r="B55" s="4">
        <v>1</v>
      </c>
    </row>
    <row r="56" spans="1:2" x14ac:dyDescent="0.25">
      <c r="A56" s="3">
        <v>73</v>
      </c>
      <c r="B56" s="4">
        <v>1</v>
      </c>
    </row>
    <row r="57" spans="1:2" x14ac:dyDescent="0.25">
      <c r="A57" s="3">
        <v>74</v>
      </c>
      <c r="B57" s="4">
        <v>1</v>
      </c>
    </row>
    <row r="58" spans="1:2" x14ac:dyDescent="0.25">
      <c r="A58" s="3">
        <v>75</v>
      </c>
      <c r="B58" s="4">
        <v>3</v>
      </c>
    </row>
    <row r="59" spans="1:2" x14ac:dyDescent="0.25">
      <c r="A59" s="3">
        <v>76</v>
      </c>
      <c r="B59" s="4">
        <v>1</v>
      </c>
    </row>
    <row r="60" spans="1:2" x14ac:dyDescent="0.25">
      <c r="A60" s="3">
        <v>77</v>
      </c>
      <c r="B60" s="4">
        <v>3</v>
      </c>
    </row>
    <row r="61" spans="1:2" x14ac:dyDescent="0.25">
      <c r="A61" s="3">
        <v>79</v>
      </c>
      <c r="B61" s="4">
        <v>1</v>
      </c>
    </row>
    <row r="62" spans="1:2" x14ac:dyDescent="0.25">
      <c r="A62" s="3">
        <v>80</v>
      </c>
      <c r="B62" s="4">
        <v>2</v>
      </c>
    </row>
    <row r="63" spans="1:2" x14ac:dyDescent="0.25">
      <c r="A63" s="3">
        <v>81</v>
      </c>
      <c r="B63" s="4">
        <v>1</v>
      </c>
    </row>
    <row r="64" spans="1:2" x14ac:dyDescent="0.25">
      <c r="A64" s="3">
        <v>82</v>
      </c>
      <c r="B64" s="4">
        <v>2</v>
      </c>
    </row>
    <row r="65" spans="1:2" x14ac:dyDescent="0.25">
      <c r="A65" s="3">
        <v>83</v>
      </c>
      <c r="B65" s="4">
        <v>2</v>
      </c>
    </row>
    <row r="66" spans="1:2" x14ac:dyDescent="0.25">
      <c r="A66" s="3">
        <v>84</v>
      </c>
      <c r="B66" s="4">
        <v>1</v>
      </c>
    </row>
    <row r="67" spans="1:2" x14ac:dyDescent="0.25">
      <c r="A67" s="3">
        <v>85</v>
      </c>
      <c r="B67" s="4">
        <v>1</v>
      </c>
    </row>
    <row r="68" spans="1:2" x14ac:dyDescent="0.25">
      <c r="A68" s="3">
        <v>86</v>
      </c>
      <c r="B68" s="4">
        <v>2</v>
      </c>
    </row>
    <row r="69" spans="1:2" x14ac:dyDescent="0.25">
      <c r="A69" s="3">
        <v>87</v>
      </c>
      <c r="B69" s="4">
        <v>2</v>
      </c>
    </row>
    <row r="70" spans="1:2" x14ac:dyDescent="0.25">
      <c r="A70" s="3">
        <v>90</v>
      </c>
      <c r="B70" s="4">
        <v>3</v>
      </c>
    </row>
    <row r="71" spans="1:2" x14ac:dyDescent="0.25">
      <c r="A71" s="3">
        <v>91</v>
      </c>
      <c r="B71" s="4">
        <v>1</v>
      </c>
    </row>
    <row r="72" spans="1:2" x14ac:dyDescent="0.25">
      <c r="A72" s="3">
        <v>92</v>
      </c>
      <c r="B72" s="4">
        <v>1</v>
      </c>
    </row>
    <row r="73" spans="1:2" x14ac:dyDescent="0.25">
      <c r="A73" s="3">
        <v>93</v>
      </c>
      <c r="B73" s="4">
        <v>1</v>
      </c>
    </row>
    <row r="74" spans="1:2" x14ac:dyDescent="0.25">
      <c r="A74" s="3">
        <v>96</v>
      </c>
      <c r="B74" s="4">
        <v>1</v>
      </c>
    </row>
    <row r="75" spans="1:2" x14ac:dyDescent="0.25">
      <c r="A75" s="3">
        <v>97</v>
      </c>
      <c r="B75" s="4">
        <v>2</v>
      </c>
    </row>
    <row r="76" spans="1:2" x14ac:dyDescent="0.25">
      <c r="A76" s="3">
        <v>100</v>
      </c>
      <c r="B76" s="4">
        <v>2</v>
      </c>
    </row>
    <row r="77" spans="1:2" x14ac:dyDescent="0.25">
      <c r="A77" s="3">
        <v>102</v>
      </c>
      <c r="B77" s="4">
        <v>1</v>
      </c>
    </row>
    <row r="78" spans="1:2" x14ac:dyDescent="0.25">
      <c r="A78" s="3">
        <v>103</v>
      </c>
      <c r="B78" s="4">
        <v>3</v>
      </c>
    </row>
    <row r="79" spans="1:2" x14ac:dyDescent="0.25">
      <c r="A79" s="3">
        <v>105</v>
      </c>
      <c r="B79" s="4">
        <v>1</v>
      </c>
    </row>
    <row r="80" spans="1:2" x14ac:dyDescent="0.25">
      <c r="A80" s="3">
        <v>107</v>
      </c>
      <c r="B80" s="4">
        <v>1</v>
      </c>
    </row>
    <row r="81" spans="1:2" x14ac:dyDescent="0.25">
      <c r="A81" s="3">
        <v>109</v>
      </c>
      <c r="B81" s="4">
        <v>1</v>
      </c>
    </row>
    <row r="82" spans="1:2" x14ac:dyDescent="0.25">
      <c r="A82" s="3">
        <v>110</v>
      </c>
      <c r="B82" s="4">
        <v>2</v>
      </c>
    </row>
    <row r="83" spans="1:2" x14ac:dyDescent="0.25">
      <c r="A83" s="3">
        <v>114</v>
      </c>
      <c r="B83" s="4">
        <v>1</v>
      </c>
    </row>
    <row r="84" spans="1:2" x14ac:dyDescent="0.25">
      <c r="A84" s="3">
        <v>118</v>
      </c>
      <c r="B84" s="4">
        <v>1</v>
      </c>
    </row>
    <row r="85" spans="1:2" x14ac:dyDescent="0.25">
      <c r="A85" s="3">
        <v>120</v>
      </c>
      <c r="B85" s="4">
        <v>1</v>
      </c>
    </row>
    <row r="86" spans="1:2" x14ac:dyDescent="0.25">
      <c r="A86" s="3">
        <v>123</v>
      </c>
      <c r="B86" s="4">
        <v>2</v>
      </c>
    </row>
    <row r="87" spans="1:2" x14ac:dyDescent="0.25">
      <c r="A87" s="3">
        <v>124</v>
      </c>
      <c r="B87" s="4">
        <v>1</v>
      </c>
    </row>
    <row r="88" spans="1:2" x14ac:dyDescent="0.25">
      <c r="A88" s="3">
        <v>129</v>
      </c>
      <c r="B88" s="4">
        <v>1</v>
      </c>
    </row>
    <row r="89" spans="1:2" x14ac:dyDescent="0.25">
      <c r="A89" s="3">
        <v>133</v>
      </c>
      <c r="B89" s="4">
        <v>1</v>
      </c>
    </row>
    <row r="90" spans="1:2" x14ac:dyDescent="0.25">
      <c r="A90" s="3">
        <v>134</v>
      </c>
      <c r="B90" s="4">
        <v>1</v>
      </c>
    </row>
    <row r="91" spans="1:2" x14ac:dyDescent="0.25">
      <c r="A91" s="3">
        <v>136</v>
      </c>
      <c r="B91" s="4">
        <v>2</v>
      </c>
    </row>
    <row r="92" spans="1:2" x14ac:dyDescent="0.25">
      <c r="A92" s="3">
        <v>137</v>
      </c>
      <c r="B92" s="4">
        <v>2</v>
      </c>
    </row>
    <row r="93" spans="1:2" x14ac:dyDescent="0.25">
      <c r="A93" s="3">
        <v>138</v>
      </c>
      <c r="B93" s="4">
        <v>1</v>
      </c>
    </row>
    <row r="94" spans="1:2" x14ac:dyDescent="0.25">
      <c r="A94" s="3">
        <v>139</v>
      </c>
      <c r="B94" s="4">
        <v>2</v>
      </c>
    </row>
    <row r="95" spans="1:2" x14ac:dyDescent="0.25">
      <c r="A95" s="3">
        <v>141</v>
      </c>
      <c r="B95" s="4">
        <v>1</v>
      </c>
    </row>
    <row r="96" spans="1:2" x14ac:dyDescent="0.25">
      <c r="A96" s="3">
        <v>143</v>
      </c>
      <c r="B96" s="4">
        <v>1</v>
      </c>
    </row>
    <row r="97" spans="1:2" x14ac:dyDescent="0.25">
      <c r="A97" s="3">
        <v>146</v>
      </c>
      <c r="B97" s="4">
        <v>1</v>
      </c>
    </row>
    <row r="98" spans="1:2" x14ac:dyDescent="0.25">
      <c r="A98" s="3">
        <v>149</v>
      </c>
      <c r="B98" s="4">
        <v>1</v>
      </c>
    </row>
    <row r="99" spans="1:2" x14ac:dyDescent="0.25">
      <c r="A99" s="3">
        <v>175</v>
      </c>
      <c r="B99" s="4">
        <v>1</v>
      </c>
    </row>
    <row r="100" spans="1:2" x14ac:dyDescent="0.25">
      <c r="A100" s="3">
        <v>193</v>
      </c>
      <c r="B100" s="4">
        <v>1</v>
      </c>
    </row>
    <row r="101" spans="1:2" x14ac:dyDescent="0.25">
      <c r="A101" s="3">
        <v>211</v>
      </c>
      <c r="B101" s="4">
        <v>1</v>
      </c>
    </row>
    <row r="102" spans="1:2" x14ac:dyDescent="0.25">
      <c r="A102" s="3">
        <v>224</v>
      </c>
      <c r="B102" s="4">
        <v>1</v>
      </c>
    </row>
    <row r="103" spans="1:2" x14ac:dyDescent="0.25">
      <c r="A103" s="3">
        <v>232</v>
      </c>
      <c r="B103" s="4">
        <v>1</v>
      </c>
    </row>
    <row r="104" spans="1:2" x14ac:dyDescent="0.25">
      <c r="A104" s="3">
        <v>237</v>
      </c>
      <c r="B104" s="4">
        <v>1</v>
      </c>
    </row>
    <row r="105" spans="1:2" x14ac:dyDescent="0.25">
      <c r="A105" s="3">
        <v>245</v>
      </c>
      <c r="B105" s="4">
        <v>1</v>
      </c>
    </row>
    <row r="106" spans="1:2" x14ac:dyDescent="0.25">
      <c r="A106" s="3">
        <v>288</v>
      </c>
      <c r="B106" s="4">
        <v>1</v>
      </c>
    </row>
    <row r="107" spans="1:2" x14ac:dyDescent="0.25">
      <c r="A107" s="3">
        <v>306</v>
      </c>
      <c r="B107" s="4">
        <v>1</v>
      </c>
    </row>
    <row r="108" spans="1:2" x14ac:dyDescent="0.25">
      <c r="A108" s="3" t="s">
        <v>28</v>
      </c>
      <c r="B108" s="4">
        <v>244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108"/>
  <sheetViews>
    <sheetView workbookViewId="0"/>
  </sheetViews>
  <sheetFormatPr defaultRowHeight="15" x14ac:dyDescent="0.25"/>
  <cols>
    <col min="1" max="1" width="13.140625" bestFit="1" customWidth="1"/>
    <col min="2" max="2" width="16.42578125" bestFit="1" customWidth="1"/>
  </cols>
  <sheetData>
    <row r="1" spans="1:2" x14ac:dyDescent="0.25">
      <c r="A1" s="2" t="s">
        <v>4</v>
      </c>
      <c r="B1" t="s">
        <v>29</v>
      </c>
    </row>
    <row r="2" spans="1:2" x14ac:dyDescent="0.25">
      <c r="A2" s="2" t="s">
        <v>1</v>
      </c>
      <c r="B2" t="s">
        <v>29</v>
      </c>
    </row>
    <row r="4" spans="1:2" x14ac:dyDescent="0.25">
      <c r="A4" s="2" t="s">
        <v>27</v>
      </c>
      <c r="B4" t="s">
        <v>30</v>
      </c>
    </row>
    <row r="5" spans="1:2" x14ac:dyDescent="0.25">
      <c r="A5" s="3">
        <v>20</v>
      </c>
      <c r="B5" s="4">
        <v>7</v>
      </c>
    </row>
    <row r="6" spans="1:2" x14ac:dyDescent="0.25">
      <c r="A6" s="3">
        <v>21</v>
      </c>
      <c r="B6" s="4">
        <v>5</v>
      </c>
    </row>
    <row r="7" spans="1:2" x14ac:dyDescent="0.25">
      <c r="A7" s="3">
        <v>22</v>
      </c>
      <c r="B7" s="4">
        <v>2</v>
      </c>
    </row>
    <row r="8" spans="1:2" x14ac:dyDescent="0.25">
      <c r="A8" s="3">
        <v>23</v>
      </c>
      <c r="B8" s="4">
        <v>4</v>
      </c>
    </row>
    <row r="9" spans="1:2" x14ac:dyDescent="0.25">
      <c r="A9" s="3">
        <v>24</v>
      </c>
      <c r="B9" s="4">
        <v>4</v>
      </c>
    </row>
    <row r="10" spans="1:2" x14ac:dyDescent="0.25">
      <c r="A10" s="3">
        <v>25</v>
      </c>
      <c r="B10" s="4">
        <v>4</v>
      </c>
    </row>
    <row r="11" spans="1:2" x14ac:dyDescent="0.25">
      <c r="A11" s="3">
        <v>26</v>
      </c>
      <c r="B11" s="4">
        <v>3</v>
      </c>
    </row>
    <row r="12" spans="1:2" x14ac:dyDescent="0.25">
      <c r="A12" s="3">
        <v>27</v>
      </c>
      <c r="B12" s="4">
        <v>6</v>
      </c>
    </row>
    <row r="13" spans="1:2" x14ac:dyDescent="0.25">
      <c r="A13" s="3">
        <v>28</v>
      </c>
      <c r="B13" s="4">
        <v>6</v>
      </c>
    </row>
    <row r="14" spans="1:2" x14ac:dyDescent="0.25">
      <c r="A14" s="3">
        <v>29</v>
      </c>
      <c r="B14" s="4">
        <v>5</v>
      </c>
    </row>
    <row r="15" spans="1:2" x14ac:dyDescent="0.25">
      <c r="A15" s="3">
        <v>30</v>
      </c>
      <c r="B15" s="4">
        <v>10</v>
      </c>
    </row>
    <row r="16" spans="1:2" x14ac:dyDescent="0.25">
      <c r="A16" s="3">
        <v>31</v>
      </c>
      <c r="B16" s="4">
        <v>6</v>
      </c>
    </row>
    <row r="17" spans="1:2" x14ac:dyDescent="0.25">
      <c r="A17" s="3">
        <v>32</v>
      </c>
      <c r="B17" s="4">
        <v>4</v>
      </c>
    </row>
    <row r="18" spans="1:2" x14ac:dyDescent="0.25">
      <c r="A18" s="3">
        <v>33</v>
      </c>
      <c r="B18" s="4">
        <v>6</v>
      </c>
    </row>
    <row r="19" spans="1:2" x14ac:dyDescent="0.25">
      <c r="A19" s="3">
        <v>34</v>
      </c>
      <c r="B19" s="4">
        <v>6</v>
      </c>
    </row>
    <row r="20" spans="1:2" x14ac:dyDescent="0.25">
      <c r="A20" s="3">
        <v>35</v>
      </c>
      <c r="B20" s="4">
        <v>1</v>
      </c>
    </row>
    <row r="21" spans="1:2" x14ac:dyDescent="0.25">
      <c r="A21" s="3">
        <v>36</v>
      </c>
      <c r="B21" s="4">
        <v>4</v>
      </c>
    </row>
    <row r="22" spans="1:2" x14ac:dyDescent="0.25">
      <c r="A22" s="3">
        <v>37</v>
      </c>
      <c r="B22" s="4">
        <v>1</v>
      </c>
    </row>
    <row r="23" spans="1:2" x14ac:dyDescent="0.25">
      <c r="A23" s="3">
        <v>38</v>
      </c>
      <c r="B23" s="4">
        <v>8</v>
      </c>
    </row>
    <row r="24" spans="1:2" x14ac:dyDescent="0.25">
      <c r="A24" s="3">
        <v>39</v>
      </c>
      <c r="B24" s="4">
        <v>3</v>
      </c>
    </row>
    <row r="25" spans="1:2" x14ac:dyDescent="0.25">
      <c r="A25" s="3">
        <v>40</v>
      </c>
      <c r="B25" s="4">
        <v>7</v>
      </c>
    </row>
    <row r="26" spans="1:2" x14ac:dyDescent="0.25">
      <c r="A26" s="3">
        <v>41</v>
      </c>
      <c r="B26" s="4">
        <v>5</v>
      </c>
    </row>
    <row r="27" spans="1:2" x14ac:dyDescent="0.25">
      <c r="A27" s="3">
        <v>42</v>
      </c>
      <c r="B27" s="4">
        <v>4</v>
      </c>
    </row>
    <row r="28" spans="1:2" x14ac:dyDescent="0.25">
      <c r="A28" s="3">
        <v>43</v>
      </c>
      <c r="B28" s="4">
        <v>4</v>
      </c>
    </row>
    <row r="29" spans="1:2" x14ac:dyDescent="0.25">
      <c r="A29" s="3">
        <v>44</v>
      </c>
      <c r="B29" s="4">
        <v>4</v>
      </c>
    </row>
    <row r="30" spans="1:2" x14ac:dyDescent="0.25">
      <c r="A30" s="3">
        <v>45</v>
      </c>
      <c r="B30" s="4">
        <v>1</v>
      </c>
    </row>
    <row r="31" spans="1:2" x14ac:dyDescent="0.25">
      <c r="A31" s="3">
        <v>46</v>
      </c>
      <c r="B31" s="4">
        <v>1</v>
      </c>
    </row>
    <row r="32" spans="1:2" x14ac:dyDescent="0.25">
      <c r="A32" s="3">
        <v>47</v>
      </c>
      <c r="B32" s="4">
        <v>3</v>
      </c>
    </row>
    <row r="33" spans="1:2" x14ac:dyDescent="0.25">
      <c r="A33" s="3">
        <v>48</v>
      </c>
      <c r="B33" s="4">
        <v>2</v>
      </c>
    </row>
    <row r="34" spans="1:2" x14ac:dyDescent="0.25">
      <c r="A34" s="3">
        <v>49</v>
      </c>
      <c r="B34" s="4">
        <v>3</v>
      </c>
    </row>
    <row r="35" spans="1:2" x14ac:dyDescent="0.25">
      <c r="A35" s="3">
        <v>50</v>
      </c>
      <c r="B35" s="4">
        <v>1</v>
      </c>
    </row>
    <row r="36" spans="1:2" x14ac:dyDescent="0.25">
      <c r="A36" s="3">
        <v>51</v>
      </c>
      <c r="B36" s="4">
        <v>4</v>
      </c>
    </row>
    <row r="37" spans="1:2" x14ac:dyDescent="0.25">
      <c r="A37" s="3">
        <v>52</v>
      </c>
      <c r="B37" s="4">
        <v>2</v>
      </c>
    </row>
    <row r="38" spans="1:2" x14ac:dyDescent="0.25">
      <c r="A38" s="3">
        <v>53</v>
      </c>
      <c r="B38" s="4">
        <v>1</v>
      </c>
    </row>
    <row r="39" spans="1:2" x14ac:dyDescent="0.25">
      <c r="A39" s="3">
        <v>54</v>
      </c>
      <c r="B39" s="4">
        <v>1</v>
      </c>
    </row>
    <row r="40" spans="1:2" x14ac:dyDescent="0.25">
      <c r="A40" s="3">
        <v>55</v>
      </c>
      <c r="B40" s="4">
        <v>2</v>
      </c>
    </row>
    <row r="41" spans="1:2" x14ac:dyDescent="0.25">
      <c r="A41" s="3">
        <v>56</v>
      </c>
      <c r="B41" s="4">
        <v>3</v>
      </c>
    </row>
    <row r="42" spans="1:2" x14ac:dyDescent="0.25">
      <c r="A42" s="3">
        <v>57</v>
      </c>
      <c r="B42" s="4">
        <v>2</v>
      </c>
    </row>
    <row r="43" spans="1:2" x14ac:dyDescent="0.25">
      <c r="A43" s="3">
        <v>58</v>
      </c>
      <c r="B43" s="4">
        <v>6</v>
      </c>
    </row>
    <row r="44" spans="1:2" x14ac:dyDescent="0.25">
      <c r="A44" s="3">
        <v>60</v>
      </c>
      <c r="B44" s="4">
        <v>1</v>
      </c>
    </row>
    <row r="45" spans="1:2" x14ac:dyDescent="0.25">
      <c r="A45" s="3">
        <v>61</v>
      </c>
      <c r="B45" s="4">
        <v>2</v>
      </c>
    </row>
    <row r="46" spans="1:2" x14ac:dyDescent="0.25">
      <c r="A46" s="3">
        <v>62</v>
      </c>
      <c r="B46" s="4">
        <v>1</v>
      </c>
    </row>
    <row r="47" spans="1:2" x14ac:dyDescent="0.25">
      <c r="A47" s="3">
        <v>63</v>
      </c>
      <c r="B47" s="4">
        <v>2</v>
      </c>
    </row>
    <row r="48" spans="1:2" x14ac:dyDescent="0.25">
      <c r="A48" s="3">
        <v>64</v>
      </c>
      <c r="B48" s="4">
        <v>2</v>
      </c>
    </row>
    <row r="49" spans="1:2" x14ac:dyDescent="0.25">
      <c r="A49" s="3">
        <v>65</v>
      </c>
      <c r="B49" s="4">
        <v>4</v>
      </c>
    </row>
    <row r="50" spans="1:2" x14ac:dyDescent="0.25">
      <c r="A50" s="3">
        <v>66</v>
      </c>
      <c r="B50" s="4">
        <v>1</v>
      </c>
    </row>
    <row r="51" spans="1:2" x14ac:dyDescent="0.25">
      <c r="A51" s="3">
        <v>67</v>
      </c>
      <c r="B51" s="4">
        <v>1</v>
      </c>
    </row>
    <row r="52" spans="1:2" x14ac:dyDescent="0.25">
      <c r="A52" s="3">
        <v>68</v>
      </c>
      <c r="B52" s="4">
        <v>4</v>
      </c>
    </row>
    <row r="53" spans="1:2" x14ac:dyDescent="0.25">
      <c r="A53" s="3">
        <v>70</v>
      </c>
      <c r="B53" s="4">
        <v>1</v>
      </c>
    </row>
    <row r="54" spans="1:2" x14ac:dyDescent="0.25">
      <c r="A54" s="3">
        <v>71</v>
      </c>
      <c r="B54" s="4">
        <v>1</v>
      </c>
    </row>
    <row r="55" spans="1:2" x14ac:dyDescent="0.25">
      <c r="A55" s="3">
        <v>72</v>
      </c>
      <c r="B55" s="4">
        <v>1</v>
      </c>
    </row>
    <row r="56" spans="1:2" x14ac:dyDescent="0.25">
      <c r="A56" s="3">
        <v>73</v>
      </c>
      <c r="B56" s="4">
        <v>1</v>
      </c>
    </row>
    <row r="57" spans="1:2" x14ac:dyDescent="0.25">
      <c r="A57" s="3">
        <v>74</v>
      </c>
      <c r="B57" s="4">
        <v>1</v>
      </c>
    </row>
    <row r="58" spans="1:2" x14ac:dyDescent="0.25">
      <c r="A58" s="3">
        <v>75</v>
      </c>
      <c r="B58" s="4">
        <v>3</v>
      </c>
    </row>
    <row r="59" spans="1:2" x14ac:dyDescent="0.25">
      <c r="A59" s="3">
        <v>76</v>
      </c>
      <c r="B59" s="4">
        <v>1</v>
      </c>
    </row>
    <row r="60" spans="1:2" x14ac:dyDescent="0.25">
      <c r="A60" s="3">
        <v>77</v>
      </c>
      <c r="B60" s="4">
        <v>3</v>
      </c>
    </row>
    <row r="61" spans="1:2" x14ac:dyDescent="0.25">
      <c r="A61" s="3">
        <v>79</v>
      </c>
      <c r="B61" s="4">
        <v>1</v>
      </c>
    </row>
    <row r="62" spans="1:2" x14ac:dyDescent="0.25">
      <c r="A62" s="3">
        <v>80</v>
      </c>
      <c r="B62" s="4">
        <v>2</v>
      </c>
    </row>
    <row r="63" spans="1:2" x14ac:dyDescent="0.25">
      <c r="A63" s="3">
        <v>81</v>
      </c>
      <c r="B63" s="4">
        <v>1</v>
      </c>
    </row>
    <row r="64" spans="1:2" x14ac:dyDescent="0.25">
      <c r="A64" s="3">
        <v>82</v>
      </c>
      <c r="B64" s="4">
        <v>2</v>
      </c>
    </row>
    <row r="65" spans="1:2" x14ac:dyDescent="0.25">
      <c r="A65" s="3">
        <v>83</v>
      </c>
      <c r="B65" s="4">
        <v>2</v>
      </c>
    </row>
    <row r="66" spans="1:2" x14ac:dyDescent="0.25">
      <c r="A66" s="3">
        <v>84</v>
      </c>
      <c r="B66" s="4">
        <v>1</v>
      </c>
    </row>
    <row r="67" spans="1:2" x14ac:dyDescent="0.25">
      <c r="A67" s="3">
        <v>85</v>
      </c>
      <c r="B67" s="4">
        <v>1</v>
      </c>
    </row>
    <row r="68" spans="1:2" x14ac:dyDescent="0.25">
      <c r="A68" s="3">
        <v>86</v>
      </c>
      <c r="B68" s="4">
        <v>2</v>
      </c>
    </row>
    <row r="69" spans="1:2" x14ac:dyDescent="0.25">
      <c r="A69" s="3">
        <v>87</v>
      </c>
      <c r="B69" s="4">
        <v>2</v>
      </c>
    </row>
    <row r="70" spans="1:2" x14ac:dyDescent="0.25">
      <c r="A70" s="3">
        <v>90</v>
      </c>
      <c r="B70" s="4">
        <v>3</v>
      </c>
    </row>
    <row r="71" spans="1:2" x14ac:dyDescent="0.25">
      <c r="A71" s="3">
        <v>91</v>
      </c>
      <c r="B71" s="4">
        <v>1</v>
      </c>
    </row>
    <row r="72" spans="1:2" x14ac:dyDescent="0.25">
      <c r="A72" s="3">
        <v>92</v>
      </c>
      <c r="B72" s="4">
        <v>1</v>
      </c>
    </row>
    <row r="73" spans="1:2" x14ac:dyDescent="0.25">
      <c r="A73" s="3">
        <v>93</v>
      </c>
      <c r="B73" s="4">
        <v>1</v>
      </c>
    </row>
    <row r="74" spans="1:2" x14ac:dyDescent="0.25">
      <c r="A74" s="3">
        <v>96</v>
      </c>
      <c r="B74" s="4">
        <v>1</v>
      </c>
    </row>
    <row r="75" spans="1:2" x14ac:dyDescent="0.25">
      <c r="A75" s="3">
        <v>97</v>
      </c>
      <c r="B75" s="4">
        <v>2</v>
      </c>
    </row>
    <row r="76" spans="1:2" x14ac:dyDescent="0.25">
      <c r="A76" s="3">
        <v>100</v>
      </c>
      <c r="B76" s="4">
        <v>2</v>
      </c>
    </row>
    <row r="77" spans="1:2" x14ac:dyDescent="0.25">
      <c r="A77" s="3">
        <v>102</v>
      </c>
      <c r="B77" s="4">
        <v>1</v>
      </c>
    </row>
    <row r="78" spans="1:2" x14ac:dyDescent="0.25">
      <c r="A78" s="3">
        <v>103</v>
      </c>
      <c r="B78" s="4">
        <v>3</v>
      </c>
    </row>
    <row r="79" spans="1:2" x14ac:dyDescent="0.25">
      <c r="A79" s="3">
        <v>105</v>
      </c>
      <c r="B79" s="4">
        <v>1</v>
      </c>
    </row>
    <row r="80" spans="1:2" x14ac:dyDescent="0.25">
      <c r="A80" s="3">
        <v>107</v>
      </c>
      <c r="B80" s="4">
        <v>1</v>
      </c>
    </row>
    <row r="81" spans="1:2" x14ac:dyDescent="0.25">
      <c r="A81" s="3">
        <v>109</v>
      </c>
      <c r="B81" s="4">
        <v>1</v>
      </c>
    </row>
    <row r="82" spans="1:2" x14ac:dyDescent="0.25">
      <c r="A82" s="3">
        <v>110</v>
      </c>
      <c r="B82" s="4">
        <v>2</v>
      </c>
    </row>
    <row r="83" spans="1:2" x14ac:dyDescent="0.25">
      <c r="A83" s="3">
        <v>114</v>
      </c>
      <c r="B83" s="4">
        <v>1</v>
      </c>
    </row>
    <row r="84" spans="1:2" x14ac:dyDescent="0.25">
      <c r="A84" s="3">
        <v>118</v>
      </c>
      <c r="B84" s="4">
        <v>1</v>
      </c>
    </row>
    <row r="85" spans="1:2" x14ac:dyDescent="0.25">
      <c r="A85" s="3">
        <v>120</v>
      </c>
      <c r="B85" s="4">
        <v>1</v>
      </c>
    </row>
    <row r="86" spans="1:2" x14ac:dyDescent="0.25">
      <c r="A86" s="3">
        <v>123</v>
      </c>
      <c r="B86" s="4">
        <v>2</v>
      </c>
    </row>
    <row r="87" spans="1:2" x14ac:dyDescent="0.25">
      <c r="A87" s="3">
        <v>124</v>
      </c>
      <c r="B87" s="4">
        <v>1</v>
      </c>
    </row>
    <row r="88" spans="1:2" x14ac:dyDescent="0.25">
      <c r="A88" s="3">
        <v>129</v>
      </c>
      <c r="B88" s="4">
        <v>1</v>
      </c>
    </row>
    <row r="89" spans="1:2" x14ac:dyDescent="0.25">
      <c r="A89" s="3">
        <v>133</v>
      </c>
      <c r="B89" s="4">
        <v>1</v>
      </c>
    </row>
    <row r="90" spans="1:2" x14ac:dyDescent="0.25">
      <c r="A90" s="3">
        <v>134</v>
      </c>
      <c r="B90" s="4">
        <v>1</v>
      </c>
    </row>
    <row r="91" spans="1:2" x14ac:dyDescent="0.25">
      <c r="A91" s="3">
        <v>136</v>
      </c>
      <c r="B91" s="4">
        <v>2</v>
      </c>
    </row>
    <row r="92" spans="1:2" x14ac:dyDescent="0.25">
      <c r="A92" s="3">
        <v>137</v>
      </c>
      <c r="B92" s="4">
        <v>2</v>
      </c>
    </row>
    <row r="93" spans="1:2" x14ac:dyDescent="0.25">
      <c r="A93" s="3">
        <v>138</v>
      </c>
      <c r="B93" s="4">
        <v>1</v>
      </c>
    </row>
    <row r="94" spans="1:2" x14ac:dyDescent="0.25">
      <c r="A94" s="3">
        <v>139</v>
      </c>
      <c r="B94" s="4">
        <v>2</v>
      </c>
    </row>
    <row r="95" spans="1:2" x14ac:dyDescent="0.25">
      <c r="A95" s="3">
        <v>141</v>
      </c>
      <c r="B95" s="4">
        <v>1</v>
      </c>
    </row>
    <row r="96" spans="1:2" x14ac:dyDescent="0.25">
      <c r="A96" s="3">
        <v>143</v>
      </c>
      <c r="B96" s="4">
        <v>1</v>
      </c>
    </row>
    <row r="97" spans="1:2" x14ac:dyDescent="0.25">
      <c r="A97" s="3">
        <v>146</v>
      </c>
      <c r="B97" s="4">
        <v>1</v>
      </c>
    </row>
    <row r="98" spans="1:2" x14ac:dyDescent="0.25">
      <c r="A98" s="3">
        <v>149</v>
      </c>
      <c r="B98" s="4">
        <v>1</v>
      </c>
    </row>
    <row r="99" spans="1:2" x14ac:dyDescent="0.25">
      <c r="A99" s="3">
        <v>175</v>
      </c>
      <c r="B99" s="4">
        <v>1</v>
      </c>
    </row>
    <row r="100" spans="1:2" x14ac:dyDescent="0.25">
      <c r="A100" s="3">
        <v>193</v>
      </c>
      <c r="B100" s="4">
        <v>1</v>
      </c>
    </row>
    <row r="101" spans="1:2" x14ac:dyDescent="0.25">
      <c r="A101" s="3">
        <v>211</v>
      </c>
      <c r="B101" s="4">
        <v>1</v>
      </c>
    </row>
    <row r="102" spans="1:2" x14ac:dyDescent="0.25">
      <c r="A102" s="3">
        <v>224</v>
      </c>
      <c r="B102" s="4">
        <v>1</v>
      </c>
    </row>
    <row r="103" spans="1:2" x14ac:dyDescent="0.25">
      <c r="A103" s="3">
        <v>232</v>
      </c>
      <c r="B103" s="4">
        <v>1</v>
      </c>
    </row>
    <row r="104" spans="1:2" x14ac:dyDescent="0.25">
      <c r="A104" s="3">
        <v>237</v>
      </c>
      <c r="B104" s="4">
        <v>1</v>
      </c>
    </row>
    <row r="105" spans="1:2" x14ac:dyDescent="0.25">
      <c r="A105" s="3">
        <v>245</v>
      </c>
      <c r="B105" s="4">
        <v>1</v>
      </c>
    </row>
    <row r="106" spans="1:2" x14ac:dyDescent="0.25">
      <c r="A106" s="3">
        <v>288</v>
      </c>
      <c r="B106" s="4">
        <v>1</v>
      </c>
    </row>
    <row r="107" spans="1:2" x14ac:dyDescent="0.25">
      <c r="A107" s="3">
        <v>306</v>
      </c>
      <c r="B107" s="4">
        <v>1</v>
      </c>
    </row>
    <row r="108" spans="1:2" x14ac:dyDescent="0.25">
      <c r="A108" s="3" t="s">
        <v>28</v>
      </c>
      <c r="B108" s="4">
        <v>244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08"/>
  <sheetViews>
    <sheetView workbookViewId="0"/>
  </sheetViews>
  <sheetFormatPr defaultRowHeight="15" x14ac:dyDescent="0.25"/>
  <cols>
    <col min="1" max="1" width="13.140625" bestFit="1" customWidth="1"/>
    <col min="2" max="2" width="16.42578125" bestFit="1" customWidth="1"/>
  </cols>
  <sheetData>
    <row r="1" spans="1:2" x14ac:dyDescent="0.25">
      <c r="A1" s="2" t="s">
        <v>4</v>
      </c>
      <c r="B1" t="s">
        <v>29</v>
      </c>
    </row>
    <row r="2" spans="1:2" x14ac:dyDescent="0.25">
      <c r="A2" s="2" t="s">
        <v>1</v>
      </c>
      <c r="B2" t="s">
        <v>29</v>
      </c>
    </row>
    <row r="4" spans="1:2" x14ac:dyDescent="0.25">
      <c r="A4" s="2" t="s">
        <v>27</v>
      </c>
      <c r="B4" t="s">
        <v>30</v>
      </c>
    </row>
    <row r="5" spans="1:2" x14ac:dyDescent="0.25">
      <c r="A5" s="3">
        <v>20</v>
      </c>
      <c r="B5" s="4">
        <v>140</v>
      </c>
    </row>
    <row r="6" spans="1:2" x14ac:dyDescent="0.25">
      <c r="A6" s="3">
        <v>21</v>
      </c>
      <c r="B6" s="4">
        <v>105</v>
      </c>
    </row>
    <row r="7" spans="1:2" x14ac:dyDescent="0.25">
      <c r="A7" s="3">
        <v>22</v>
      </c>
      <c r="B7" s="4">
        <v>44</v>
      </c>
    </row>
    <row r="8" spans="1:2" x14ac:dyDescent="0.25">
      <c r="A8" s="3">
        <v>23</v>
      </c>
      <c r="B8" s="4">
        <v>92</v>
      </c>
    </row>
    <row r="9" spans="1:2" x14ac:dyDescent="0.25">
      <c r="A9" s="3">
        <v>24</v>
      </c>
      <c r="B9" s="4">
        <v>96</v>
      </c>
    </row>
    <row r="10" spans="1:2" x14ac:dyDescent="0.25">
      <c r="A10" s="3">
        <v>25</v>
      </c>
      <c r="B10" s="4">
        <v>100</v>
      </c>
    </row>
    <row r="11" spans="1:2" x14ac:dyDescent="0.25">
      <c r="A11" s="3">
        <v>26</v>
      </c>
      <c r="B11" s="4">
        <v>78</v>
      </c>
    </row>
    <row r="12" spans="1:2" x14ac:dyDescent="0.25">
      <c r="A12" s="3">
        <v>27</v>
      </c>
      <c r="B12" s="4">
        <v>162</v>
      </c>
    </row>
    <row r="13" spans="1:2" x14ac:dyDescent="0.25">
      <c r="A13" s="3">
        <v>28</v>
      </c>
      <c r="B13" s="4">
        <v>168</v>
      </c>
    </row>
    <row r="14" spans="1:2" x14ac:dyDescent="0.25">
      <c r="A14" s="3">
        <v>29</v>
      </c>
      <c r="B14" s="4">
        <v>145</v>
      </c>
    </row>
    <row r="15" spans="1:2" x14ac:dyDescent="0.25">
      <c r="A15" s="3">
        <v>30</v>
      </c>
      <c r="B15" s="4">
        <v>300</v>
      </c>
    </row>
    <row r="16" spans="1:2" x14ac:dyDescent="0.25">
      <c r="A16" s="3">
        <v>31</v>
      </c>
      <c r="B16" s="4">
        <v>186</v>
      </c>
    </row>
    <row r="17" spans="1:2" x14ac:dyDescent="0.25">
      <c r="A17" s="3">
        <v>32</v>
      </c>
      <c r="B17" s="4">
        <v>128</v>
      </c>
    </row>
    <row r="18" spans="1:2" x14ac:dyDescent="0.25">
      <c r="A18" s="3">
        <v>33</v>
      </c>
      <c r="B18" s="4">
        <v>198</v>
      </c>
    </row>
    <row r="19" spans="1:2" x14ac:dyDescent="0.25">
      <c r="A19" s="3">
        <v>34</v>
      </c>
      <c r="B19" s="4">
        <v>204</v>
      </c>
    </row>
    <row r="20" spans="1:2" x14ac:dyDescent="0.25">
      <c r="A20" s="3">
        <v>35</v>
      </c>
      <c r="B20" s="4">
        <v>35</v>
      </c>
    </row>
    <row r="21" spans="1:2" x14ac:dyDescent="0.25">
      <c r="A21" s="3">
        <v>36</v>
      </c>
      <c r="B21" s="4">
        <v>144</v>
      </c>
    </row>
    <row r="22" spans="1:2" x14ac:dyDescent="0.25">
      <c r="A22" s="3">
        <v>37</v>
      </c>
      <c r="B22" s="4">
        <v>37</v>
      </c>
    </row>
    <row r="23" spans="1:2" x14ac:dyDescent="0.25">
      <c r="A23" s="3">
        <v>38</v>
      </c>
      <c r="B23" s="4">
        <v>304</v>
      </c>
    </row>
    <row r="24" spans="1:2" x14ac:dyDescent="0.25">
      <c r="A24" s="3">
        <v>39</v>
      </c>
      <c r="B24" s="4">
        <v>117</v>
      </c>
    </row>
    <row r="25" spans="1:2" x14ac:dyDescent="0.25">
      <c r="A25" s="3">
        <v>40</v>
      </c>
      <c r="B25" s="4">
        <v>280</v>
      </c>
    </row>
    <row r="26" spans="1:2" x14ac:dyDescent="0.25">
      <c r="A26" s="3">
        <v>41</v>
      </c>
      <c r="B26" s="4">
        <v>205</v>
      </c>
    </row>
    <row r="27" spans="1:2" x14ac:dyDescent="0.25">
      <c r="A27" s="3">
        <v>42</v>
      </c>
      <c r="B27" s="4">
        <v>168</v>
      </c>
    </row>
    <row r="28" spans="1:2" x14ac:dyDescent="0.25">
      <c r="A28" s="3">
        <v>43</v>
      </c>
      <c r="B28" s="4">
        <v>172</v>
      </c>
    </row>
    <row r="29" spans="1:2" x14ac:dyDescent="0.25">
      <c r="A29" s="3">
        <v>44</v>
      </c>
      <c r="B29" s="4">
        <v>176</v>
      </c>
    </row>
    <row r="30" spans="1:2" x14ac:dyDescent="0.25">
      <c r="A30" s="3">
        <v>45</v>
      </c>
      <c r="B30" s="4">
        <v>45</v>
      </c>
    </row>
    <row r="31" spans="1:2" x14ac:dyDescent="0.25">
      <c r="A31" s="3">
        <v>46</v>
      </c>
      <c r="B31" s="4">
        <v>46</v>
      </c>
    </row>
    <row r="32" spans="1:2" x14ac:dyDescent="0.25">
      <c r="A32" s="3">
        <v>47</v>
      </c>
      <c r="B32" s="4">
        <v>141</v>
      </c>
    </row>
    <row r="33" spans="1:2" x14ac:dyDescent="0.25">
      <c r="A33" s="3">
        <v>48</v>
      </c>
      <c r="B33" s="4">
        <v>96</v>
      </c>
    </row>
    <row r="34" spans="1:2" x14ac:dyDescent="0.25">
      <c r="A34" s="3">
        <v>49</v>
      </c>
      <c r="B34" s="4">
        <v>147</v>
      </c>
    </row>
    <row r="35" spans="1:2" x14ac:dyDescent="0.25">
      <c r="A35" s="3">
        <v>50</v>
      </c>
      <c r="B35" s="4">
        <v>50</v>
      </c>
    </row>
    <row r="36" spans="1:2" x14ac:dyDescent="0.25">
      <c r="A36" s="3">
        <v>51</v>
      </c>
      <c r="B36" s="4">
        <v>204</v>
      </c>
    </row>
    <row r="37" spans="1:2" x14ac:dyDescent="0.25">
      <c r="A37" s="3">
        <v>52</v>
      </c>
      <c r="B37" s="4">
        <v>104</v>
      </c>
    </row>
    <row r="38" spans="1:2" x14ac:dyDescent="0.25">
      <c r="A38" s="3">
        <v>53</v>
      </c>
      <c r="B38" s="4">
        <v>53</v>
      </c>
    </row>
    <row r="39" spans="1:2" x14ac:dyDescent="0.25">
      <c r="A39" s="3">
        <v>54</v>
      </c>
      <c r="B39" s="4">
        <v>54</v>
      </c>
    </row>
    <row r="40" spans="1:2" x14ac:dyDescent="0.25">
      <c r="A40" s="3">
        <v>55</v>
      </c>
      <c r="B40" s="4">
        <v>110</v>
      </c>
    </row>
    <row r="41" spans="1:2" x14ac:dyDescent="0.25">
      <c r="A41" s="3">
        <v>56</v>
      </c>
      <c r="B41" s="4">
        <v>168</v>
      </c>
    </row>
    <row r="42" spans="1:2" x14ac:dyDescent="0.25">
      <c r="A42" s="3">
        <v>57</v>
      </c>
      <c r="B42" s="4">
        <v>114</v>
      </c>
    </row>
    <row r="43" spans="1:2" x14ac:dyDescent="0.25">
      <c r="A43" s="3">
        <v>58</v>
      </c>
      <c r="B43" s="4">
        <v>348</v>
      </c>
    </row>
    <row r="44" spans="1:2" x14ac:dyDescent="0.25">
      <c r="A44" s="3">
        <v>60</v>
      </c>
      <c r="B44" s="4">
        <v>60</v>
      </c>
    </row>
    <row r="45" spans="1:2" x14ac:dyDescent="0.25">
      <c r="A45" s="3">
        <v>61</v>
      </c>
      <c r="B45" s="4">
        <v>122</v>
      </c>
    </row>
    <row r="46" spans="1:2" x14ac:dyDescent="0.25">
      <c r="A46" s="3">
        <v>62</v>
      </c>
      <c r="B46" s="4">
        <v>62</v>
      </c>
    </row>
    <row r="47" spans="1:2" x14ac:dyDescent="0.25">
      <c r="A47" s="3">
        <v>63</v>
      </c>
      <c r="B47" s="4">
        <v>126</v>
      </c>
    </row>
    <row r="48" spans="1:2" x14ac:dyDescent="0.25">
      <c r="A48" s="3">
        <v>64</v>
      </c>
      <c r="B48" s="4">
        <v>128</v>
      </c>
    </row>
    <row r="49" spans="1:2" x14ac:dyDescent="0.25">
      <c r="A49" s="3">
        <v>65</v>
      </c>
      <c r="B49" s="4">
        <v>260</v>
      </c>
    </row>
    <row r="50" spans="1:2" x14ac:dyDescent="0.25">
      <c r="A50" s="3">
        <v>66</v>
      </c>
      <c r="B50" s="4">
        <v>66</v>
      </c>
    </row>
    <row r="51" spans="1:2" x14ac:dyDescent="0.25">
      <c r="A51" s="3">
        <v>67</v>
      </c>
      <c r="B51" s="4">
        <v>67</v>
      </c>
    </row>
    <row r="52" spans="1:2" x14ac:dyDescent="0.25">
      <c r="A52" s="3">
        <v>68</v>
      </c>
      <c r="B52" s="4">
        <v>272</v>
      </c>
    </row>
    <row r="53" spans="1:2" x14ac:dyDescent="0.25">
      <c r="A53" s="3">
        <v>70</v>
      </c>
      <c r="B53" s="4">
        <v>70</v>
      </c>
    </row>
    <row r="54" spans="1:2" x14ac:dyDescent="0.25">
      <c r="A54" s="3">
        <v>71</v>
      </c>
      <c r="B54" s="4">
        <v>71</v>
      </c>
    </row>
    <row r="55" spans="1:2" x14ac:dyDescent="0.25">
      <c r="A55" s="3">
        <v>72</v>
      </c>
      <c r="B55" s="4">
        <v>72</v>
      </c>
    </row>
    <row r="56" spans="1:2" x14ac:dyDescent="0.25">
      <c r="A56" s="3">
        <v>73</v>
      </c>
      <c r="B56" s="4">
        <v>73</v>
      </c>
    </row>
    <row r="57" spans="1:2" x14ac:dyDescent="0.25">
      <c r="A57" s="3">
        <v>74</v>
      </c>
      <c r="B57" s="4">
        <v>74</v>
      </c>
    </row>
    <row r="58" spans="1:2" x14ac:dyDescent="0.25">
      <c r="A58" s="3">
        <v>75</v>
      </c>
      <c r="B58" s="4">
        <v>225</v>
      </c>
    </row>
    <row r="59" spans="1:2" x14ac:dyDescent="0.25">
      <c r="A59" s="3">
        <v>76</v>
      </c>
      <c r="B59" s="4">
        <v>76</v>
      </c>
    </row>
    <row r="60" spans="1:2" x14ac:dyDescent="0.25">
      <c r="A60" s="3">
        <v>77</v>
      </c>
      <c r="B60" s="4">
        <v>231</v>
      </c>
    </row>
    <row r="61" spans="1:2" x14ac:dyDescent="0.25">
      <c r="A61" s="3">
        <v>79</v>
      </c>
      <c r="B61" s="4">
        <v>79</v>
      </c>
    </row>
    <row r="62" spans="1:2" x14ac:dyDescent="0.25">
      <c r="A62" s="3">
        <v>80</v>
      </c>
      <c r="B62" s="4">
        <v>160</v>
      </c>
    </row>
    <row r="63" spans="1:2" x14ac:dyDescent="0.25">
      <c r="A63" s="3">
        <v>81</v>
      </c>
      <c r="B63" s="4">
        <v>81</v>
      </c>
    </row>
    <row r="64" spans="1:2" x14ac:dyDescent="0.25">
      <c r="A64" s="3">
        <v>82</v>
      </c>
      <c r="B64" s="4">
        <v>164</v>
      </c>
    </row>
    <row r="65" spans="1:2" x14ac:dyDescent="0.25">
      <c r="A65" s="3">
        <v>83</v>
      </c>
      <c r="B65" s="4">
        <v>166</v>
      </c>
    </row>
    <row r="66" spans="1:2" x14ac:dyDescent="0.25">
      <c r="A66" s="3">
        <v>84</v>
      </c>
      <c r="B66" s="4">
        <v>84</v>
      </c>
    </row>
    <row r="67" spans="1:2" x14ac:dyDescent="0.25">
      <c r="A67" s="3">
        <v>85</v>
      </c>
      <c r="B67" s="4">
        <v>85</v>
      </c>
    </row>
    <row r="68" spans="1:2" x14ac:dyDescent="0.25">
      <c r="A68" s="3">
        <v>86</v>
      </c>
      <c r="B68" s="4">
        <v>172</v>
      </c>
    </row>
    <row r="69" spans="1:2" x14ac:dyDescent="0.25">
      <c r="A69" s="3">
        <v>87</v>
      </c>
      <c r="B69" s="4">
        <v>174</v>
      </c>
    </row>
    <row r="70" spans="1:2" x14ac:dyDescent="0.25">
      <c r="A70" s="3">
        <v>90</v>
      </c>
      <c r="B70" s="4">
        <v>270</v>
      </c>
    </row>
    <row r="71" spans="1:2" x14ac:dyDescent="0.25">
      <c r="A71" s="3">
        <v>91</v>
      </c>
      <c r="B71" s="4">
        <v>91</v>
      </c>
    </row>
    <row r="72" spans="1:2" x14ac:dyDescent="0.25">
      <c r="A72" s="3">
        <v>92</v>
      </c>
      <c r="B72" s="4">
        <v>92</v>
      </c>
    </row>
    <row r="73" spans="1:2" x14ac:dyDescent="0.25">
      <c r="A73" s="3">
        <v>93</v>
      </c>
      <c r="B73" s="4">
        <v>93</v>
      </c>
    </row>
    <row r="74" spans="1:2" x14ac:dyDescent="0.25">
      <c r="A74" s="3">
        <v>96</v>
      </c>
      <c r="B74" s="4">
        <v>96</v>
      </c>
    </row>
    <row r="75" spans="1:2" x14ac:dyDescent="0.25">
      <c r="A75" s="3">
        <v>97</v>
      </c>
      <c r="B75" s="4">
        <v>194</v>
      </c>
    </row>
    <row r="76" spans="1:2" x14ac:dyDescent="0.25">
      <c r="A76" s="3">
        <v>100</v>
      </c>
      <c r="B76" s="4">
        <v>200</v>
      </c>
    </row>
    <row r="77" spans="1:2" x14ac:dyDescent="0.25">
      <c r="A77" s="3">
        <v>102</v>
      </c>
      <c r="B77" s="4">
        <v>102</v>
      </c>
    </row>
    <row r="78" spans="1:2" x14ac:dyDescent="0.25">
      <c r="A78" s="3">
        <v>103</v>
      </c>
      <c r="B78" s="4">
        <v>309</v>
      </c>
    </row>
    <row r="79" spans="1:2" x14ac:dyDescent="0.25">
      <c r="A79" s="3">
        <v>105</v>
      </c>
      <c r="B79" s="4">
        <v>105</v>
      </c>
    </row>
    <row r="80" spans="1:2" x14ac:dyDescent="0.25">
      <c r="A80" s="3">
        <v>107</v>
      </c>
      <c r="B80" s="4">
        <v>107</v>
      </c>
    </row>
    <row r="81" spans="1:2" x14ac:dyDescent="0.25">
      <c r="A81" s="3">
        <v>109</v>
      </c>
      <c r="B81" s="4">
        <v>109</v>
      </c>
    </row>
    <row r="82" spans="1:2" x14ac:dyDescent="0.25">
      <c r="A82" s="3">
        <v>110</v>
      </c>
      <c r="B82" s="4">
        <v>220</v>
      </c>
    </row>
    <row r="83" spans="1:2" x14ac:dyDescent="0.25">
      <c r="A83" s="3">
        <v>114</v>
      </c>
      <c r="B83" s="4">
        <v>114</v>
      </c>
    </row>
    <row r="84" spans="1:2" x14ac:dyDescent="0.25">
      <c r="A84" s="3">
        <v>118</v>
      </c>
      <c r="B84" s="4">
        <v>118</v>
      </c>
    </row>
    <row r="85" spans="1:2" x14ac:dyDescent="0.25">
      <c r="A85" s="3">
        <v>120</v>
      </c>
      <c r="B85" s="4">
        <v>120</v>
      </c>
    </row>
    <row r="86" spans="1:2" x14ac:dyDescent="0.25">
      <c r="A86" s="3">
        <v>123</v>
      </c>
      <c r="B86" s="4">
        <v>246</v>
      </c>
    </row>
    <row r="87" spans="1:2" x14ac:dyDescent="0.25">
      <c r="A87" s="3">
        <v>124</v>
      </c>
      <c r="B87" s="4">
        <v>124</v>
      </c>
    </row>
    <row r="88" spans="1:2" x14ac:dyDescent="0.25">
      <c r="A88" s="3">
        <v>129</v>
      </c>
      <c r="B88" s="4">
        <v>129</v>
      </c>
    </row>
    <row r="89" spans="1:2" x14ac:dyDescent="0.25">
      <c r="A89" s="3">
        <v>133</v>
      </c>
      <c r="B89" s="4">
        <v>133</v>
      </c>
    </row>
    <row r="90" spans="1:2" x14ac:dyDescent="0.25">
      <c r="A90" s="3">
        <v>134</v>
      </c>
      <c r="B90" s="4">
        <v>134</v>
      </c>
    </row>
    <row r="91" spans="1:2" x14ac:dyDescent="0.25">
      <c r="A91" s="3">
        <v>136</v>
      </c>
      <c r="B91" s="4">
        <v>272</v>
      </c>
    </row>
    <row r="92" spans="1:2" x14ac:dyDescent="0.25">
      <c r="A92" s="3">
        <v>137</v>
      </c>
      <c r="B92" s="4">
        <v>274</v>
      </c>
    </row>
    <row r="93" spans="1:2" x14ac:dyDescent="0.25">
      <c r="A93" s="3">
        <v>138</v>
      </c>
      <c r="B93" s="4">
        <v>138</v>
      </c>
    </row>
    <row r="94" spans="1:2" x14ac:dyDescent="0.25">
      <c r="A94" s="3">
        <v>139</v>
      </c>
      <c r="B94" s="4">
        <v>278</v>
      </c>
    </row>
    <row r="95" spans="1:2" x14ac:dyDescent="0.25">
      <c r="A95" s="3">
        <v>141</v>
      </c>
      <c r="B95" s="4">
        <v>141</v>
      </c>
    </row>
    <row r="96" spans="1:2" x14ac:dyDescent="0.25">
      <c r="A96" s="3">
        <v>143</v>
      </c>
      <c r="B96" s="4">
        <v>143</v>
      </c>
    </row>
    <row r="97" spans="1:2" x14ac:dyDescent="0.25">
      <c r="A97" s="3">
        <v>146</v>
      </c>
      <c r="B97" s="4">
        <v>146</v>
      </c>
    </row>
    <row r="98" spans="1:2" x14ac:dyDescent="0.25">
      <c r="A98" s="3">
        <v>149</v>
      </c>
      <c r="B98" s="4">
        <v>149</v>
      </c>
    </row>
    <row r="99" spans="1:2" x14ac:dyDescent="0.25">
      <c r="A99" s="3">
        <v>175</v>
      </c>
      <c r="B99" s="4">
        <v>175</v>
      </c>
    </row>
    <row r="100" spans="1:2" x14ac:dyDescent="0.25">
      <c r="A100" s="3">
        <v>193</v>
      </c>
      <c r="B100" s="4">
        <v>193</v>
      </c>
    </row>
    <row r="101" spans="1:2" x14ac:dyDescent="0.25">
      <c r="A101" s="3">
        <v>211</v>
      </c>
      <c r="B101" s="4">
        <v>211</v>
      </c>
    </row>
    <row r="102" spans="1:2" x14ac:dyDescent="0.25">
      <c r="A102" s="3">
        <v>224</v>
      </c>
      <c r="B102" s="4">
        <v>224</v>
      </c>
    </row>
    <row r="103" spans="1:2" x14ac:dyDescent="0.25">
      <c r="A103" s="3">
        <v>232</v>
      </c>
      <c r="B103" s="4">
        <v>232</v>
      </c>
    </row>
    <row r="104" spans="1:2" x14ac:dyDescent="0.25">
      <c r="A104" s="3">
        <v>237</v>
      </c>
      <c r="B104" s="4">
        <v>237</v>
      </c>
    </row>
    <row r="105" spans="1:2" x14ac:dyDescent="0.25">
      <c r="A105" s="3">
        <v>245</v>
      </c>
      <c r="B105" s="4">
        <v>245</v>
      </c>
    </row>
    <row r="106" spans="1:2" x14ac:dyDescent="0.25">
      <c r="A106" s="3">
        <v>288</v>
      </c>
      <c r="B106" s="4">
        <v>288</v>
      </c>
    </row>
    <row r="107" spans="1:2" x14ac:dyDescent="0.25">
      <c r="A107" s="3">
        <v>306</v>
      </c>
      <c r="B107" s="4">
        <v>306</v>
      </c>
    </row>
    <row r="108" spans="1:2" x14ac:dyDescent="0.25">
      <c r="A108" s="3" t="s">
        <v>28</v>
      </c>
      <c r="B108" s="4">
        <v>15442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5"/>
  <sheetViews>
    <sheetView workbookViewId="0"/>
  </sheetViews>
  <sheetFormatPr defaultRowHeight="15" x14ac:dyDescent="0.25"/>
  <cols>
    <col min="1" max="1" width="16.42578125" bestFit="1" customWidth="1"/>
    <col min="2" max="2" width="7.140625" customWidth="1"/>
  </cols>
  <sheetData>
    <row r="1" spans="1:2" x14ac:dyDescent="0.25">
      <c r="A1" s="2" t="s">
        <v>4</v>
      </c>
      <c r="B1" t="s">
        <v>29</v>
      </c>
    </row>
    <row r="2" spans="1:2" x14ac:dyDescent="0.25">
      <c r="A2" s="2" t="s">
        <v>1</v>
      </c>
      <c r="B2" t="s">
        <v>29</v>
      </c>
    </row>
    <row r="4" spans="1:2" x14ac:dyDescent="0.25">
      <c r="A4" t="s">
        <v>30</v>
      </c>
    </row>
    <row r="5" spans="1:2" x14ac:dyDescent="0.25">
      <c r="A5" s="4">
        <v>15442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45"/>
  <sheetViews>
    <sheetView zoomScaleNormal="100" zoomScaleSheetLayoutView="80" workbookViewId="0">
      <pane ySplit="1" topLeftCell="A2" activePane="bottomLeft" state="frozen"/>
      <selection pane="bottomLeft" activeCell="E1" sqref="E1"/>
    </sheetView>
  </sheetViews>
  <sheetFormatPr defaultRowHeight="15" x14ac:dyDescent="0.25"/>
  <cols>
    <col min="1" max="1" width="11.42578125" style="1" customWidth="1"/>
    <col min="3" max="3" width="11.42578125" bestFit="1" customWidth="1"/>
    <col min="4" max="4" width="11.140625" bestFit="1" customWidth="1"/>
    <col min="5" max="5" width="14.42578125" bestFit="1" customWidth="1"/>
    <col min="8" max="8" width="11.140625" customWidth="1"/>
  </cols>
  <sheetData>
    <row r="1" spans="1:8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25</v>
      </c>
      <c r="G1" t="s">
        <v>26</v>
      </c>
      <c r="H1" t="s">
        <v>5</v>
      </c>
    </row>
    <row r="2" spans="1:8" x14ac:dyDescent="0.25">
      <c r="A2" s="1">
        <v>43466</v>
      </c>
      <c r="B2" t="s">
        <v>6</v>
      </c>
      <c r="C2" t="s">
        <v>7</v>
      </c>
      <c r="D2" t="s">
        <v>9</v>
      </c>
      <c r="E2" t="s">
        <v>12</v>
      </c>
      <c r="F2">
        <v>33</v>
      </c>
      <c r="G2">
        <v>1.7699999999999998</v>
      </c>
      <c r="H2">
        <f>Sales_Data[[#This Row],[Quantity]]*Sales_Data[[#This Row],[UnitPrice]]</f>
        <v>58.41</v>
      </c>
    </row>
    <row r="3" spans="1:8" x14ac:dyDescent="0.25">
      <c r="A3" s="1">
        <v>43469</v>
      </c>
      <c r="B3" t="s">
        <v>6</v>
      </c>
      <c r="C3" t="s">
        <v>7</v>
      </c>
      <c r="D3" t="s">
        <v>22</v>
      </c>
      <c r="E3" t="s">
        <v>23</v>
      </c>
      <c r="F3">
        <v>87</v>
      </c>
      <c r="G3">
        <v>3.4899999999999998</v>
      </c>
      <c r="H3">
        <f>Sales_Data[[#This Row],[Quantity]]*Sales_Data[[#This Row],[UnitPrice]]</f>
        <v>303.63</v>
      </c>
    </row>
    <row r="4" spans="1:8" x14ac:dyDescent="0.25">
      <c r="A4" s="1">
        <v>43472</v>
      </c>
      <c r="B4" t="s">
        <v>19</v>
      </c>
      <c r="C4" t="s">
        <v>20</v>
      </c>
      <c r="D4" t="s">
        <v>13</v>
      </c>
      <c r="E4" t="s">
        <v>14</v>
      </c>
      <c r="F4">
        <v>58</v>
      </c>
      <c r="G4">
        <v>1.8699999999999999</v>
      </c>
      <c r="H4">
        <f>Sales_Data[[#This Row],[Quantity]]*Sales_Data[[#This Row],[UnitPrice]]</f>
        <v>108.46</v>
      </c>
    </row>
    <row r="5" spans="1:8" x14ac:dyDescent="0.25">
      <c r="A5" s="1">
        <v>43475</v>
      </c>
      <c r="B5" t="s">
        <v>6</v>
      </c>
      <c r="C5" t="s">
        <v>18</v>
      </c>
      <c r="D5" t="s">
        <v>13</v>
      </c>
      <c r="E5" t="s">
        <v>14</v>
      </c>
      <c r="F5">
        <v>82</v>
      </c>
      <c r="G5">
        <v>1.87</v>
      </c>
      <c r="H5">
        <f>Sales_Data[[#This Row],[Quantity]]*Sales_Data[[#This Row],[UnitPrice]]</f>
        <v>153.34</v>
      </c>
    </row>
    <row r="6" spans="1:8" x14ac:dyDescent="0.25">
      <c r="A6" s="1">
        <v>43478</v>
      </c>
      <c r="B6" t="s">
        <v>6</v>
      </c>
      <c r="C6" t="s">
        <v>7</v>
      </c>
      <c r="D6" t="s">
        <v>13</v>
      </c>
      <c r="E6" t="s">
        <v>8</v>
      </c>
      <c r="F6">
        <v>38</v>
      </c>
      <c r="G6">
        <v>2.1800000000000002</v>
      </c>
      <c r="H6">
        <f>Sales_Data[[#This Row],[Quantity]]*Sales_Data[[#This Row],[UnitPrice]]</f>
        <v>82.84</v>
      </c>
    </row>
    <row r="7" spans="1:8" x14ac:dyDescent="0.25">
      <c r="A7" s="1">
        <v>43481</v>
      </c>
      <c r="B7" t="s">
        <v>6</v>
      </c>
      <c r="C7" t="s">
        <v>7</v>
      </c>
      <c r="D7" t="s">
        <v>9</v>
      </c>
      <c r="E7" t="s">
        <v>12</v>
      </c>
      <c r="F7">
        <v>54</v>
      </c>
      <c r="G7">
        <v>1.77</v>
      </c>
      <c r="H7">
        <f>Sales_Data[[#This Row],[Quantity]]*Sales_Data[[#This Row],[UnitPrice]]</f>
        <v>95.58</v>
      </c>
    </row>
    <row r="8" spans="1:8" x14ac:dyDescent="0.25">
      <c r="A8" s="1">
        <v>43484</v>
      </c>
      <c r="B8" t="s">
        <v>6</v>
      </c>
      <c r="C8" t="s">
        <v>7</v>
      </c>
      <c r="D8" t="s">
        <v>22</v>
      </c>
      <c r="E8" t="s">
        <v>23</v>
      </c>
      <c r="F8">
        <v>149</v>
      </c>
      <c r="G8">
        <v>3.4899999999999998</v>
      </c>
      <c r="H8">
        <f>Sales_Data[[#This Row],[Quantity]]*Sales_Data[[#This Row],[UnitPrice]]</f>
        <v>520.01</v>
      </c>
    </row>
    <row r="9" spans="1:8" x14ac:dyDescent="0.25">
      <c r="A9" s="1">
        <v>43487</v>
      </c>
      <c r="B9" t="s">
        <v>19</v>
      </c>
      <c r="C9" t="s">
        <v>20</v>
      </c>
      <c r="D9" t="s">
        <v>9</v>
      </c>
      <c r="E9" t="s">
        <v>12</v>
      </c>
      <c r="F9">
        <v>51</v>
      </c>
      <c r="G9">
        <v>1.77</v>
      </c>
      <c r="H9">
        <f>Sales_Data[[#This Row],[Quantity]]*Sales_Data[[#This Row],[UnitPrice]]</f>
        <v>90.27</v>
      </c>
    </row>
    <row r="10" spans="1:8" x14ac:dyDescent="0.25">
      <c r="A10" s="1">
        <v>43490</v>
      </c>
      <c r="B10" t="s">
        <v>6</v>
      </c>
      <c r="C10" t="s">
        <v>18</v>
      </c>
      <c r="D10" t="s">
        <v>9</v>
      </c>
      <c r="E10" t="s">
        <v>12</v>
      </c>
      <c r="F10">
        <v>100</v>
      </c>
      <c r="G10">
        <v>1.77</v>
      </c>
      <c r="H10">
        <f>Sales_Data[[#This Row],[Quantity]]*Sales_Data[[#This Row],[UnitPrice]]</f>
        <v>177</v>
      </c>
    </row>
    <row r="11" spans="1:8" x14ac:dyDescent="0.25">
      <c r="A11" s="1">
        <v>43493</v>
      </c>
      <c r="B11" t="s">
        <v>6</v>
      </c>
      <c r="C11" t="s">
        <v>18</v>
      </c>
      <c r="D11" t="s">
        <v>16</v>
      </c>
      <c r="E11" t="s">
        <v>17</v>
      </c>
      <c r="F11">
        <v>28</v>
      </c>
      <c r="G11">
        <v>1.35</v>
      </c>
      <c r="H11">
        <f>Sales_Data[[#This Row],[Quantity]]*Sales_Data[[#This Row],[UnitPrice]]</f>
        <v>37.800000000000004</v>
      </c>
    </row>
    <row r="12" spans="1:8" x14ac:dyDescent="0.25">
      <c r="A12" s="1">
        <v>43496</v>
      </c>
      <c r="B12" t="s">
        <v>6</v>
      </c>
      <c r="C12" t="s">
        <v>7</v>
      </c>
      <c r="D12" t="s">
        <v>13</v>
      </c>
      <c r="E12" t="s">
        <v>8</v>
      </c>
      <c r="F12">
        <v>36</v>
      </c>
      <c r="G12">
        <v>2.1800000000000002</v>
      </c>
      <c r="H12">
        <f>Sales_Data[[#This Row],[Quantity]]*Sales_Data[[#This Row],[UnitPrice]]</f>
        <v>78.48</v>
      </c>
    </row>
    <row r="13" spans="1:8" x14ac:dyDescent="0.25">
      <c r="A13" s="1">
        <v>43499</v>
      </c>
      <c r="B13" t="s">
        <v>6</v>
      </c>
      <c r="C13" t="s">
        <v>7</v>
      </c>
      <c r="D13" t="s">
        <v>13</v>
      </c>
      <c r="E13" t="s">
        <v>14</v>
      </c>
      <c r="F13">
        <v>31</v>
      </c>
      <c r="G13">
        <v>1.8699999999999999</v>
      </c>
      <c r="H13">
        <f>Sales_Data[[#This Row],[Quantity]]*Sales_Data[[#This Row],[UnitPrice]]</f>
        <v>57.97</v>
      </c>
    </row>
    <row r="14" spans="1:8" x14ac:dyDescent="0.25">
      <c r="A14" s="1">
        <v>43502</v>
      </c>
      <c r="B14" t="s">
        <v>6</v>
      </c>
      <c r="C14" t="s">
        <v>7</v>
      </c>
      <c r="D14" t="s">
        <v>22</v>
      </c>
      <c r="E14" t="s">
        <v>23</v>
      </c>
      <c r="F14">
        <v>28</v>
      </c>
      <c r="G14">
        <v>3.4899999999999998</v>
      </c>
      <c r="H14">
        <f>Sales_Data[[#This Row],[Quantity]]*Sales_Data[[#This Row],[UnitPrice]]</f>
        <v>97.72</v>
      </c>
    </row>
    <row r="15" spans="1:8" x14ac:dyDescent="0.25">
      <c r="A15" s="1">
        <v>43505</v>
      </c>
      <c r="B15" t="s">
        <v>19</v>
      </c>
      <c r="C15" t="s">
        <v>20</v>
      </c>
      <c r="D15" t="s">
        <v>9</v>
      </c>
      <c r="E15" t="s">
        <v>12</v>
      </c>
      <c r="F15">
        <v>44</v>
      </c>
      <c r="G15">
        <v>1.7699999999999998</v>
      </c>
      <c r="H15">
        <f>Sales_Data[[#This Row],[Quantity]]*Sales_Data[[#This Row],[UnitPrice]]</f>
        <v>77.88</v>
      </c>
    </row>
    <row r="16" spans="1:8" x14ac:dyDescent="0.25">
      <c r="A16" s="1">
        <v>43508</v>
      </c>
      <c r="B16" t="s">
        <v>6</v>
      </c>
      <c r="C16" t="s">
        <v>18</v>
      </c>
      <c r="D16" t="s">
        <v>9</v>
      </c>
      <c r="E16" t="s">
        <v>12</v>
      </c>
      <c r="F16">
        <v>23</v>
      </c>
      <c r="G16">
        <v>1.77</v>
      </c>
      <c r="H16">
        <f>Sales_Data[[#This Row],[Quantity]]*Sales_Data[[#This Row],[UnitPrice]]</f>
        <v>40.71</v>
      </c>
    </row>
    <row r="17" spans="1:8" x14ac:dyDescent="0.25">
      <c r="A17" s="1">
        <v>43511</v>
      </c>
      <c r="B17" t="s">
        <v>6</v>
      </c>
      <c r="C17" t="s">
        <v>18</v>
      </c>
      <c r="D17" t="s">
        <v>16</v>
      </c>
      <c r="E17" t="s">
        <v>17</v>
      </c>
      <c r="F17">
        <v>27</v>
      </c>
      <c r="G17">
        <v>1.35</v>
      </c>
      <c r="H17">
        <f>Sales_Data[[#This Row],[Quantity]]*Sales_Data[[#This Row],[UnitPrice]]</f>
        <v>36.450000000000003</v>
      </c>
    </row>
    <row r="18" spans="1:8" x14ac:dyDescent="0.25">
      <c r="A18" s="1">
        <v>43514</v>
      </c>
      <c r="B18" t="s">
        <v>6</v>
      </c>
      <c r="C18" t="s">
        <v>7</v>
      </c>
      <c r="D18" t="s">
        <v>13</v>
      </c>
      <c r="E18" t="s">
        <v>8</v>
      </c>
      <c r="F18">
        <v>43</v>
      </c>
      <c r="G18">
        <v>2.1799999999999997</v>
      </c>
      <c r="H18">
        <f>Sales_Data[[#This Row],[Quantity]]*Sales_Data[[#This Row],[UnitPrice]]</f>
        <v>93.739999999999981</v>
      </c>
    </row>
    <row r="19" spans="1:8" x14ac:dyDescent="0.25">
      <c r="A19" s="1">
        <v>43517</v>
      </c>
      <c r="B19" t="s">
        <v>6</v>
      </c>
      <c r="C19" t="s">
        <v>7</v>
      </c>
      <c r="D19" t="s">
        <v>13</v>
      </c>
      <c r="E19" t="s">
        <v>15</v>
      </c>
      <c r="F19">
        <v>123</v>
      </c>
      <c r="G19">
        <v>2.84</v>
      </c>
      <c r="H19">
        <f>Sales_Data[[#This Row],[Quantity]]*Sales_Data[[#This Row],[UnitPrice]]</f>
        <v>349.32</v>
      </c>
    </row>
    <row r="20" spans="1:8" x14ac:dyDescent="0.25">
      <c r="A20" s="1">
        <v>43520</v>
      </c>
      <c r="B20" t="s">
        <v>19</v>
      </c>
      <c r="C20" t="s">
        <v>20</v>
      </c>
      <c r="D20" t="s">
        <v>9</v>
      </c>
      <c r="E20" t="s">
        <v>11</v>
      </c>
      <c r="F20">
        <v>42</v>
      </c>
      <c r="G20">
        <v>1.87</v>
      </c>
      <c r="H20">
        <f>Sales_Data[[#This Row],[Quantity]]*Sales_Data[[#This Row],[UnitPrice]]</f>
        <v>78.540000000000006</v>
      </c>
    </row>
    <row r="21" spans="1:8" x14ac:dyDescent="0.25">
      <c r="A21" s="1">
        <v>43523</v>
      </c>
      <c r="B21" t="s">
        <v>19</v>
      </c>
      <c r="C21" t="s">
        <v>20</v>
      </c>
      <c r="D21" t="s">
        <v>13</v>
      </c>
      <c r="E21" t="s">
        <v>15</v>
      </c>
      <c r="F21">
        <v>33</v>
      </c>
      <c r="G21">
        <v>2.84</v>
      </c>
      <c r="H21">
        <f>Sales_Data[[#This Row],[Quantity]]*Sales_Data[[#This Row],[UnitPrice]]</f>
        <v>93.72</v>
      </c>
    </row>
    <row r="22" spans="1:8" x14ac:dyDescent="0.25">
      <c r="A22" s="1">
        <v>43526</v>
      </c>
      <c r="B22" t="s">
        <v>6</v>
      </c>
      <c r="C22" t="s">
        <v>18</v>
      </c>
      <c r="D22" t="s">
        <v>13</v>
      </c>
      <c r="E22" t="s">
        <v>14</v>
      </c>
      <c r="F22">
        <v>85</v>
      </c>
      <c r="G22">
        <v>1.8699999999999999</v>
      </c>
      <c r="H22">
        <f>Sales_Data[[#This Row],[Quantity]]*Sales_Data[[#This Row],[UnitPrice]]</f>
        <v>158.94999999999999</v>
      </c>
    </row>
    <row r="23" spans="1:8" x14ac:dyDescent="0.25">
      <c r="A23" s="1">
        <v>43529</v>
      </c>
      <c r="B23" t="s">
        <v>19</v>
      </c>
      <c r="C23" t="s">
        <v>21</v>
      </c>
      <c r="D23" t="s">
        <v>13</v>
      </c>
      <c r="E23" t="s">
        <v>15</v>
      </c>
      <c r="F23">
        <v>30</v>
      </c>
      <c r="G23">
        <v>2.8400000000000003</v>
      </c>
      <c r="H23">
        <f>Sales_Data[[#This Row],[Quantity]]*Sales_Data[[#This Row],[UnitPrice]]</f>
        <v>85.2</v>
      </c>
    </row>
    <row r="24" spans="1:8" x14ac:dyDescent="0.25">
      <c r="A24" s="1">
        <v>43532</v>
      </c>
      <c r="B24" t="s">
        <v>6</v>
      </c>
      <c r="C24" t="s">
        <v>7</v>
      </c>
      <c r="D24" t="s">
        <v>9</v>
      </c>
      <c r="E24" t="s">
        <v>12</v>
      </c>
      <c r="F24">
        <v>61</v>
      </c>
      <c r="G24">
        <v>1.77</v>
      </c>
      <c r="H24">
        <f>Sales_Data[[#This Row],[Quantity]]*Sales_Data[[#This Row],[UnitPrice]]</f>
        <v>107.97</v>
      </c>
    </row>
    <row r="25" spans="1:8" x14ac:dyDescent="0.25">
      <c r="A25" s="1">
        <v>43535</v>
      </c>
      <c r="B25" t="s">
        <v>6</v>
      </c>
      <c r="C25" t="s">
        <v>7</v>
      </c>
      <c r="D25" t="s">
        <v>22</v>
      </c>
      <c r="E25" t="s">
        <v>23</v>
      </c>
      <c r="F25">
        <v>40</v>
      </c>
      <c r="G25">
        <v>3.4899999999999998</v>
      </c>
      <c r="H25">
        <f>Sales_Data[[#This Row],[Quantity]]*Sales_Data[[#This Row],[UnitPrice]]</f>
        <v>139.6</v>
      </c>
    </row>
    <row r="26" spans="1:8" x14ac:dyDescent="0.25">
      <c r="A26" s="1">
        <v>43538</v>
      </c>
      <c r="B26" t="s">
        <v>19</v>
      </c>
      <c r="C26" t="s">
        <v>20</v>
      </c>
      <c r="D26" t="s">
        <v>13</v>
      </c>
      <c r="E26" t="s">
        <v>14</v>
      </c>
      <c r="F26">
        <v>86</v>
      </c>
      <c r="G26">
        <v>1.8699999999999999</v>
      </c>
      <c r="H26">
        <f>Sales_Data[[#This Row],[Quantity]]*Sales_Data[[#This Row],[UnitPrice]]</f>
        <v>160.82</v>
      </c>
    </row>
    <row r="27" spans="1:8" x14ac:dyDescent="0.25">
      <c r="A27" s="1">
        <v>43541</v>
      </c>
      <c r="B27" t="s">
        <v>6</v>
      </c>
      <c r="C27" t="s">
        <v>18</v>
      </c>
      <c r="D27" t="s">
        <v>9</v>
      </c>
      <c r="E27" t="s">
        <v>12</v>
      </c>
      <c r="F27">
        <v>38</v>
      </c>
      <c r="G27">
        <v>1.7700000000000002</v>
      </c>
      <c r="H27">
        <f>Sales_Data[[#This Row],[Quantity]]*Sales_Data[[#This Row],[UnitPrice]]</f>
        <v>67.260000000000005</v>
      </c>
    </row>
    <row r="28" spans="1:8" x14ac:dyDescent="0.25">
      <c r="A28" s="1">
        <v>43544</v>
      </c>
      <c r="B28" t="s">
        <v>6</v>
      </c>
      <c r="C28" t="s">
        <v>18</v>
      </c>
      <c r="D28" t="s">
        <v>16</v>
      </c>
      <c r="E28" t="s">
        <v>17</v>
      </c>
      <c r="F28">
        <v>68</v>
      </c>
      <c r="G28">
        <v>1.68</v>
      </c>
      <c r="H28">
        <f>Sales_Data[[#This Row],[Quantity]]*Sales_Data[[#This Row],[UnitPrice]]</f>
        <v>114.24</v>
      </c>
    </row>
    <row r="29" spans="1:8" x14ac:dyDescent="0.25">
      <c r="A29" s="1">
        <v>43547</v>
      </c>
      <c r="B29" t="s">
        <v>19</v>
      </c>
      <c r="C29" t="s">
        <v>21</v>
      </c>
      <c r="D29" t="s">
        <v>13</v>
      </c>
      <c r="E29" t="s">
        <v>14</v>
      </c>
      <c r="F29">
        <v>39</v>
      </c>
      <c r="G29">
        <v>1.87</v>
      </c>
      <c r="H29">
        <f>Sales_Data[[#This Row],[Quantity]]*Sales_Data[[#This Row],[UnitPrice]]</f>
        <v>72.930000000000007</v>
      </c>
    </row>
    <row r="30" spans="1:8" x14ac:dyDescent="0.25">
      <c r="A30" s="1">
        <v>43550</v>
      </c>
      <c r="B30" t="s">
        <v>6</v>
      </c>
      <c r="C30" t="s">
        <v>7</v>
      </c>
      <c r="D30" t="s">
        <v>9</v>
      </c>
      <c r="E30" t="s">
        <v>11</v>
      </c>
      <c r="F30">
        <v>103</v>
      </c>
      <c r="G30">
        <v>1.87</v>
      </c>
      <c r="H30">
        <f>Sales_Data[[#This Row],[Quantity]]*Sales_Data[[#This Row],[UnitPrice]]</f>
        <v>192.61</v>
      </c>
    </row>
    <row r="31" spans="1:8" x14ac:dyDescent="0.25">
      <c r="A31" s="1">
        <v>43553</v>
      </c>
      <c r="B31" t="s">
        <v>6</v>
      </c>
      <c r="C31" t="s">
        <v>7</v>
      </c>
      <c r="D31" t="s">
        <v>13</v>
      </c>
      <c r="E31" t="s">
        <v>15</v>
      </c>
      <c r="F31">
        <v>193</v>
      </c>
      <c r="G31">
        <v>2.84</v>
      </c>
      <c r="H31">
        <f>Sales_Data[[#This Row],[Quantity]]*Sales_Data[[#This Row],[UnitPrice]]</f>
        <v>548.12</v>
      </c>
    </row>
    <row r="32" spans="1:8" x14ac:dyDescent="0.25">
      <c r="A32" s="1">
        <v>43556</v>
      </c>
      <c r="B32" t="s">
        <v>19</v>
      </c>
      <c r="C32" t="s">
        <v>20</v>
      </c>
      <c r="D32" t="s">
        <v>9</v>
      </c>
      <c r="E32" t="s">
        <v>12</v>
      </c>
      <c r="F32">
        <v>58</v>
      </c>
      <c r="G32">
        <v>1.77</v>
      </c>
      <c r="H32">
        <f>Sales_Data[[#This Row],[Quantity]]*Sales_Data[[#This Row],[UnitPrice]]</f>
        <v>102.66</v>
      </c>
    </row>
    <row r="33" spans="1:8" x14ac:dyDescent="0.25">
      <c r="A33" s="1">
        <v>43559</v>
      </c>
      <c r="B33" t="s">
        <v>19</v>
      </c>
      <c r="C33" t="s">
        <v>20</v>
      </c>
      <c r="D33" t="s">
        <v>16</v>
      </c>
      <c r="E33" t="s">
        <v>17</v>
      </c>
      <c r="F33">
        <v>68</v>
      </c>
      <c r="G33">
        <v>1.68</v>
      </c>
      <c r="H33">
        <f>Sales_Data[[#This Row],[Quantity]]*Sales_Data[[#This Row],[UnitPrice]]</f>
        <v>114.24</v>
      </c>
    </row>
    <row r="34" spans="1:8" x14ac:dyDescent="0.25">
      <c r="A34" s="1">
        <v>43562</v>
      </c>
      <c r="B34" t="s">
        <v>6</v>
      </c>
      <c r="C34" t="s">
        <v>18</v>
      </c>
      <c r="D34" t="s">
        <v>9</v>
      </c>
      <c r="E34" t="s">
        <v>12</v>
      </c>
      <c r="F34">
        <v>91</v>
      </c>
      <c r="G34">
        <v>1.77</v>
      </c>
      <c r="H34">
        <f>Sales_Data[[#This Row],[Quantity]]*Sales_Data[[#This Row],[UnitPrice]]</f>
        <v>161.07</v>
      </c>
    </row>
    <row r="35" spans="1:8" x14ac:dyDescent="0.25">
      <c r="A35" s="1">
        <v>43565</v>
      </c>
      <c r="B35" t="s">
        <v>6</v>
      </c>
      <c r="C35" t="s">
        <v>18</v>
      </c>
      <c r="D35" t="s">
        <v>22</v>
      </c>
      <c r="E35" t="s">
        <v>23</v>
      </c>
      <c r="F35">
        <v>23</v>
      </c>
      <c r="G35">
        <v>3.4899999999999998</v>
      </c>
      <c r="H35">
        <f>Sales_Data[[#This Row],[Quantity]]*Sales_Data[[#This Row],[UnitPrice]]</f>
        <v>80.27</v>
      </c>
    </row>
    <row r="36" spans="1:8" x14ac:dyDescent="0.25">
      <c r="A36" s="1">
        <v>43568</v>
      </c>
      <c r="B36" t="s">
        <v>19</v>
      </c>
      <c r="C36" t="s">
        <v>21</v>
      </c>
      <c r="D36" t="s">
        <v>16</v>
      </c>
      <c r="E36" t="s">
        <v>17</v>
      </c>
      <c r="F36">
        <v>28</v>
      </c>
      <c r="G36">
        <v>1.68</v>
      </c>
      <c r="H36">
        <f>Sales_Data[[#This Row],[Quantity]]*Sales_Data[[#This Row],[UnitPrice]]</f>
        <v>47.04</v>
      </c>
    </row>
    <row r="37" spans="1:8" x14ac:dyDescent="0.25">
      <c r="A37" s="1">
        <v>43571</v>
      </c>
      <c r="B37" t="s">
        <v>6</v>
      </c>
      <c r="C37" t="s">
        <v>7</v>
      </c>
      <c r="D37" t="s">
        <v>9</v>
      </c>
      <c r="E37" t="s">
        <v>12</v>
      </c>
      <c r="F37">
        <v>48</v>
      </c>
      <c r="G37">
        <v>1.7699999999999998</v>
      </c>
      <c r="H37">
        <f>Sales_Data[[#This Row],[Quantity]]*Sales_Data[[#This Row],[UnitPrice]]</f>
        <v>84.96</v>
      </c>
    </row>
    <row r="38" spans="1:8" x14ac:dyDescent="0.25">
      <c r="A38" s="1">
        <v>43574</v>
      </c>
      <c r="B38" t="s">
        <v>6</v>
      </c>
      <c r="C38" t="s">
        <v>7</v>
      </c>
      <c r="D38" t="s">
        <v>16</v>
      </c>
      <c r="E38" t="s">
        <v>17</v>
      </c>
      <c r="F38">
        <v>134</v>
      </c>
      <c r="G38">
        <v>1.68</v>
      </c>
      <c r="H38">
        <f>Sales_Data[[#This Row],[Quantity]]*Sales_Data[[#This Row],[UnitPrice]]</f>
        <v>225.12</v>
      </c>
    </row>
    <row r="39" spans="1:8" x14ac:dyDescent="0.25">
      <c r="A39" s="1">
        <v>43577</v>
      </c>
      <c r="B39" t="s">
        <v>19</v>
      </c>
      <c r="C39" t="s">
        <v>20</v>
      </c>
      <c r="D39" t="s">
        <v>9</v>
      </c>
      <c r="E39" t="s">
        <v>12</v>
      </c>
      <c r="F39">
        <v>20</v>
      </c>
      <c r="G39">
        <v>1.77</v>
      </c>
      <c r="H39">
        <f>Sales_Data[[#This Row],[Quantity]]*Sales_Data[[#This Row],[UnitPrice]]</f>
        <v>35.4</v>
      </c>
    </row>
    <row r="40" spans="1:8" x14ac:dyDescent="0.25">
      <c r="A40" s="1">
        <v>43580</v>
      </c>
      <c r="B40" t="s">
        <v>6</v>
      </c>
      <c r="C40" t="s">
        <v>18</v>
      </c>
      <c r="D40" t="s">
        <v>9</v>
      </c>
      <c r="E40" t="s">
        <v>12</v>
      </c>
      <c r="F40">
        <v>53</v>
      </c>
      <c r="G40">
        <v>1.77</v>
      </c>
      <c r="H40">
        <f>Sales_Data[[#This Row],[Quantity]]*Sales_Data[[#This Row],[UnitPrice]]</f>
        <v>93.81</v>
      </c>
    </row>
    <row r="41" spans="1:8" x14ac:dyDescent="0.25">
      <c r="A41" s="1">
        <v>43583</v>
      </c>
      <c r="B41" t="s">
        <v>6</v>
      </c>
      <c r="C41" t="s">
        <v>18</v>
      </c>
      <c r="D41" t="s">
        <v>16</v>
      </c>
      <c r="E41" t="s">
        <v>17</v>
      </c>
      <c r="F41">
        <v>64</v>
      </c>
      <c r="G41">
        <v>1.68</v>
      </c>
      <c r="H41">
        <f>Sales_Data[[#This Row],[Quantity]]*Sales_Data[[#This Row],[UnitPrice]]</f>
        <v>107.52</v>
      </c>
    </row>
    <row r="42" spans="1:8" x14ac:dyDescent="0.25">
      <c r="A42" s="1">
        <v>43586</v>
      </c>
      <c r="B42" t="s">
        <v>19</v>
      </c>
      <c r="C42" t="s">
        <v>21</v>
      </c>
      <c r="D42" t="s">
        <v>13</v>
      </c>
      <c r="E42" t="s">
        <v>14</v>
      </c>
      <c r="F42">
        <v>63</v>
      </c>
      <c r="G42">
        <v>1.87</v>
      </c>
      <c r="H42">
        <f>Sales_Data[[#This Row],[Quantity]]*Sales_Data[[#This Row],[UnitPrice]]</f>
        <v>117.81</v>
      </c>
    </row>
    <row r="43" spans="1:8" x14ac:dyDescent="0.25">
      <c r="A43" s="1">
        <v>43589</v>
      </c>
      <c r="B43" t="s">
        <v>6</v>
      </c>
      <c r="C43" t="s">
        <v>7</v>
      </c>
      <c r="D43" t="s">
        <v>9</v>
      </c>
      <c r="E43" t="s">
        <v>11</v>
      </c>
      <c r="F43">
        <v>105</v>
      </c>
      <c r="G43">
        <v>1.8699999999999999</v>
      </c>
      <c r="H43">
        <f>Sales_Data[[#This Row],[Quantity]]*Sales_Data[[#This Row],[UnitPrice]]</f>
        <v>196.35</v>
      </c>
    </row>
    <row r="44" spans="1:8" x14ac:dyDescent="0.25">
      <c r="A44" s="1">
        <v>43592</v>
      </c>
      <c r="B44" t="s">
        <v>6</v>
      </c>
      <c r="C44" t="s">
        <v>7</v>
      </c>
      <c r="D44" t="s">
        <v>13</v>
      </c>
      <c r="E44" t="s">
        <v>15</v>
      </c>
      <c r="F44">
        <v>138</v>
      </c>
      <c r="G44">
        <v>2.8400000000000003</v>
      </c>
      <c r="H44">
        <f>Sales_Data[[#This Row],[Quantity]]*Sales_Data[[#This Row],[UnitPrice]]</f>
        <v>391.92</v>
      </c>
    </row>
    <row r="45" spans="1:8" x14ac:dyDescent="0.25">
      <c r="A45" s="1">
        <v>43595</v>
      </c>
      <c r="B45" t="s">
        <v>19</v>
      </c>
      <c r="C45" t="s">
        <v>20</v>
      </c>
      <c r="D45" t="s">
        <v>9</v>
      </c>
      <c r="E45" t="s">
        <v>12</v>
      </c>
      <c r="F45">
        <v>25</v>
      </c>
      <c r="G45">
        <v>1.77</v>
      </c>
      <c r="H45">
        <f>Sales_Data[[#This Row],[Quantity]]*Sales_Data[[#This Row],[UnitPrice]]</f>
        <v>44.25</v>
      </c>
    </row>
    <row r="46" spans="1:8" x14ac:dyDescent="0.25">
      <c r="A46" s="1">
        <v>43598</v>
      </c>
      <c r="B46" t="s">
        <v>19</v>
      </c>
      <c r="C46" t="s">
        <v>20</v>
      </c>
      <c r="D46" t="s">
        <v>22</v>
      </c>
      <c r="E46" t="s">
        <v>23</v>
      </c>
      <c r="F46">
        <v>21</v>
      </c>
      <c r="G46">
        <v>3.49</v>
      </c>
      <c r="H46">
        <f>Sales_Data[[#This Row],[Quantity]]*Sales_Data[[#This Row],[UnitPrice]]</f>
        <v>73.290000000000006</v>
      </c>
    </row>
    <row r="47" spans="1:8" x14ac:dyDescent="0.25">
      <c r="A47" s="1">
        <v>43601</v>
      </c>
      <c r="B47" t="s">
        <v>6</v>
      </c>
      <c r="C47" t="s">
        <v>18</v>
      </c>
      <c r="D47" t="s">
        <v>9</v>
      </c>
      <c r="E47" t="s">
        <v>12</v>
      </c>
      <c r="F47">
        <v>61</v>
      </c>
      <c r="G47">
        <v>1.77</v>
      </c>
      <c r="H47">
        <f>Sales_Data[[#This Row],[Quantity]]*Sales_Data[[#This Row],[UnitPrice]]</f>
        <v>107.97</v>
      </c>
    </row>
    <row r="48" spans="1:8" x14ac:dyDescent="0.25">
      <c r="A48" s="1">
        <v>43604</v>
      </c>
      <c r="B48" t="s">
        <v>6</v>
      </c>
      <c r="C48" t="s">
        <v>18</v>
      </c>
      <c r="D48" t="s">
        <v>16</v>
      </c>
      <c r="E48" t="s">
        <v>17</v>
      </c>
      <c r="F48">
        <v>49</v>
      </c>
      <c r="G48">
        <v>1.68</v>
      </c>
      <c r="H48">
        <f>Sales_Data[[#This Row],[Quantity]]*Sales_Data[[#This Row],[UnitPrice]]</f>
        <v>82.32</v>
      </c>
    </row>
    <row r="49" spans="1:8" x14ac:dyDescent="0.25">
      <c r="A49" s="1">
        <v>43607</v>
      </c>
      <c r="B49" t="s">
        <v>19</v>
      </c>
      <c r="C49" t="s">
        <v>21</v>
      </c>
      <c r="D49" t="s">
        <v>13</v>
      </c>
      <c r="E49" t="s">
        <v>14</v>
      </c>
      <c r="F49">
        <v>55</v>
      </c>
      <c r="G49">
        <v>1.8699999999999999</v>
      </c>
      <c r="H49">
        <f>Sales_Data[[#This Row],[Quantity]]*Sales_Data[[#This Row],[UnitPrice]]</f>
        <v>102.85</v>
      </c>
    </row>
    <row r="50" spans="1:8" x14ac:dyDescent="0.25">
      <c r="A50" s="1">
        <v>43610</v>
      </c>
      <c r="B50" t="s">
        <v>6</v>
      </c>
      <c r="C50" t="s">
        <v>7</v>
      </c>
      <c r="D50" t="s">
        <v>13</v>
      </c>
      <c r="E50" t="s">
        <v>8</v>
      </c>
      <c r="F50">
        <v>27</v>
      </c>
      <c r="G50">
        <v>2.1800000000000002</v>
      </c>
      <c r="H50">
        <f>Sales_Data[[#This Row],[Quantity]]*Sales_Data[[#This Row],[UnitPrice]]</f>
        <v>58.860000000000007</v>
      </c>
    </row>
    <row r="51" spans="1:8" x14ac:dyDescent="0.25">
      <c r="A51" s="1">
        <v>43613</v>
      </c>
      <c r="B51" t="s">
        <v>6</v>
      </c>
      <c r="C51" t="s">
        <v>7</v>
      </c>
      <c r="D51" t="s">
        <v>9</v>
      </c>
      <c r="E51" t="s">
        <v>12</v>
      </c>
      <c r="F51">
        <v>58</v>
      </c>
      <c r="G51">
        <v>1.77</v>
      </c>
      <c r="H51">
        <f>Sales_Data[[#This Row],[Quantity]]*Sales_Data[[#This Row],[UnitPrice]]</f>
        <v>102.66</v>
      </c>
    </row>
    <row r="52" spans="1:8" x14ac:dyDescent="0.25">
      <c r="A52" s="1">
        <v>43616</v>
      </c>
      <c r="B52" t="s">
        <v>6</v>
      </c>
      <c r="C52" t="s">
        <v>7</v>
      </c>
      <c r="D52" t="s">
        <v>22</v>
      </c>
      <c r="E52" t="s">
        <v>23</v>
      </c>
      <c r="F52">
        <v>33</v>
      </c>
      <c r="G52">
        <v>3.49</v>
      </c>
      <c r="H52">
        <f>Sales_Data[[#This Row],[Quantity]]*Sales_Data[[#This Row],[UnitPrice]]</f>
        <v>115.17</v>
      </c>
    </row>
    <row r="53" spans="1:8" x14ac:dyDescent="0.25">
      <c r="A53" s="1">
        <v>43619</v>
      </c>
      <c r="B53" t="s">
        <v>19</v>
      </c>
      <c r="C53" t="s">
        <v>20</v>
      </c>
      <c r="D53" t="s">
        <v>13</v>
      </c>
      <c r="E53" t="s">
        <v>15</v>
      </c>
      <c r="F53">
        <v>288</v>
      </c>
      <c r="G53">
        <v>2.84</v>
      </c>
      <c r="H53">
        <f>Sales_Data[[#This Row],[Quantity]]*Sales_Data[[#This Row],[UnitPrice]]</f>
        <v>817.92</v>
      </c>
    </row>
    <row r="54" spans="1:8" x14ac:dyDescent="0.25">
      <c r="A54" s="1">
        <v>43622</v>
      </c>
      <c r="B54" t="s">
        <v>6</v>
      </c>
      <c r="C54" t="s">
        <v>18</v>
      </c>
      <c r="D54" t="s">
        <v>13</v>
      </c>
      <c r="E54" t="s">
        <v>14</v>
      </c>
      <c r="F54">
        <v>76</v>
      </c>
      <c r="G54">
        <v>1.87</v>
      </c>
      <c r="H54">
        <f>Sales_Data[[#This Row],[Quantity]]*Sales_Data[[#This Row],[UnitPrice]]</f>
        <v>142.12</v>
      </c>
    </row>
    <row r="55" spans="1:8" x14ac:dyDescent="0.25">
      <c r="A55" s="1">
        <v>43625</v>
      </c>
      <c r="B55" t="s">
        <v>19</v>
      </c>
      <c r="C55" t="s">
        <v>21</v>
      </c>
      <c r="D55" t="s">
        <v>9</v>
      </c>
      <c r="E55" t="s">
        <v>12</v>
      </c>
      <c r="F55">
        <v>42</v>
      </c>
      <c r="G55">
        <v>1.77</v>
      </c>
      <c r="H55">
        <f>Sales_Data[[#This Row],[Quantity]]*Sales_Data[[#This Row],[UnitPrice]]</f>
        <v>74.34</v>
      </c>
    </row>
    <row r="56" spans="1:8" x14ac:dyDescent="0.25">
      <c r="A56" s="1">
        <v>43628</v>
      </c>
      <c r="B56" t="s">
        <v>19</v>
      </c>
      <c r="C56" t="s">
        <v>21</v>
      </c>
      <c r="D56" t="s">
        <v>22</v>
      </c>
      <c r="E56" t="s">
        <v>23</v>
      </c>
      <c r="F56">
        <v>20</v>
      </c>
      <c r="G56">
        <v>3.4899999999999998</v>
      </c>
      <c r="H56">
        <f>Sales_Data[[#This Row],[Quantity]]*Sales_Data[[#This Row],[UnitPrice]]</f>
        <v>69.8</v>
      </c>
    </row>
    <row r="57" spans="1:8" x14ac:dyDescent="0.25">
      <c r="A57" s="1">
        <v>43631</v>
      </c>
      <c r="B57" t="s">
        <v>6</v>
      </c>
      <c r="C57" t="s">
        <v>7</v>
      </c>
      <c r="D57" t="s">
        <v>9</v>
      </c>
      <c r="E57" t="s">
        <v>12</v>
      </c>
      <c r="F57">
        <v>75</v>
      </c>
      <c r="G57">
        <v>1.77</v>
      </c>
      <c r="H57">
        <f>Sales_Data[[#This Row],[Quantity]]*Sales_Data[[#This Row],[UnitPrice]]</f>
        <v>132.75</v>
      </c>
    </row>
    <row r="58" spans="1:8" x14ac:dyDescent="0.25">
      <c r="A58" s="1">
        <v>43634</v>
      </c>
      <c r="B58" t="s">
        <v>6</v>
      </c>
      <c r="C58" t="s">
        <v>7</v>
      </c>
      <c r="D58" t="s">
        <v>22</v>
      </c>
      <c r="E58" t="s">
        <v>23</v>
      </c>
      <c r="F58">
        <v>38</v>
      </c>
      <c r="G58">
        <v>3.49</v>
      </c>
      <c r="H58">
        <f>Sales_Data[[#This Row],[Quantity]]*Sales_Data[[#This Row],[UnitPrice]]</f>
        <v>132.62</v>
      </c>
    </row>
    <row r="59" spans="1:8" x14ac:dyDescent="0.25">
      <c r="A59" s="1">
        <v>43637</v>
      </c>
      <c r="B59" t="s">
        <v>19</v>
      </c>
      <c r="C59" t="s">
        <v>20</v>
      </c>
      <c r="D59" t="s">
        <v>9</v>
      </c>
      <c r="E59" t="s">
        <v>12</v>
      </c>
      <c r="F59">
        <v>306</v>
      </c>
      <c r="G59">
        <v>1.77</v>
      </c>
      <c r="H59">
        <f>Sales_Data[[#This Row],[Quantity]]*Sales_Data[[#This Row],[UnitPrice]]</f>
        <v>541.62</v>
      </c>
    </row>
    <row r="60" spans="1:8" x14ac:dyDescent="0.25">
      <c r="A60" s="1">
        <v>43640</v>
      </c>
      <c r="B60" t="s">
        <v>19</v>
      </c>
      <c r="C60" t="s">
        <v>20</v>
      </c>
      <c r="D60" t="s">
        <v>16</v>
      </c>
      <c r="E60" t="s">
        <v>17</v>
      </c>
      <c r="F60">
        <v>28</v>
      </c>
      <c r="G60">
        <v>1.68</v>
      </c>
      <c r="H60">
        <f>Sales_Data[[#This Row],[Quantity]]*Sales_Data[[#This Row],[UnitPrice]]</f>
        <v>47.04</v>
      </c>
    </row>
    <row r="61" spans="1:8" x14ac:dyDescent="0.25">
      <c r="A61" s="1">
        <v>43643</v>
      </c>
      <c r="B61" t="s">
        <v>6</v>
      </c>
      <c r="C61" t="s">
        <v>18</v>
      </c>
      <c r="D61" t="s">
        <v>9</v>
      </c>
      <c r="E61" t="s">
        <v>11</v>
      </c>
      <c r="F61">
        <v>110</v>
      </c>
      <c r="G61">
        <v>1.8699999999999999</v>
      </c>
      <c r="H61">
        <f>Sales_Data[[#This Row],[Quantity]]*Sales_Data[[#This Row],[UnitPrice]]</f>
        <v>205.7</v>
      </c>
    </row>
    <row r="62" spans="1:8" x14ac:dyDescent="0.25">
      <c r="A62" s="1">
        <v>43646</v>
      </c>
      <c r="B62" t="s">
        <v>6</v>
      </c>
      <c r="C62" t="s">
        <v>18</v>
      </c>
      <c r="D62" t="s">
        <v>13</v>
      </c>
      <c r="E62" t="s">
        <v>15</v>
      </c>
      <c r="F62">
        <v>51</v>
      </c>
      <c r="G62">
        <v>2.84</v>
      </c>
      <c r="H62">
        <f>Sales_Data[[#This Row],[Quantity]]*Sales_Data[[#This Row],[UnitPrice]]</f>
        <v>144.84</v>
      </c>
    </row>
    <row r="63" spans="1:8" x14ac:dyDescent="0.25">
      <c r="A63" s="1">
        <v>43649</v>
      </c>
      <c r="B63" t="s">
        <v>19</v>
      </c>
      <c r="C63" t="s">
        <v>21</v>
      </c>
      <c r="D63" t="s">
        <v>9</v>
      </c>
      <c r="E63" t="s">
        <v>12</v>
      </c>
      <c r="F63">
        <v>52</v>
      </c>
      <c r="G63">
        <v>1.77</v>
      </c>
      <c r="H63">
        <f>Sales_Data[[#This Row],[Quantity]]*Sales_Data[[#This Row],[UnitPrice]]</f>
        <v>92.04</v>
      </c>
    </row>
    <row r="64" spans="1:8" x14ac:dyDescent="0.25">
      <c r="A64" s="1">
        <v>43652</v>
      </c>
      <c r="B64" t="s">
        <v>19</v>
      </c>
      <c r="C64" t="s">
        <v>21</v>
      </c>
      <c r="D64" t="s">
        <v>22</v>
      </c>
      <c r="E64" t="s">
        <v>23</v>
      </c>
      <c r="F64">
        <v>28</v>
      </c>
      <c r="G64">
        <v>3.4899999999999998</v>
      </c>
      <c r="H64">
        <f>Sales_Data[[#This Row],[Quantity]]*Sales_Data[[#This Row],[UnitPrice]]</f>
        <v>97.72</v>
      </c>
    </row>
    <row r="65" spans="1:8" x14ac:dyDescent="0.25">
      <c r="A65" s="1">
        <v>43655</v>
      </c>
      <c r="B65" t="s">
        <v>6</v>
      </c>
      <c r="C65" t="s">
        <v>7</v>
      </c>
      <c r="D65" t="s">
        <v>9</v>
      </c>
      <c r="E65" t="s">
        <v>12</v>
      </c>
      <c r="F65">
        <v>136</v>
      </c>
      <c r="G65">
        <v>1.77</v>
      </c>
      <c r="H65">
        <f>Sales_Data[[#This Row],[Quantity]]*Sales_Data[[#This Row],[UnitPrice]]</f>
        <v>240.72</v>
      </c>
    </row>
    <row r="66" spans="1:8" x14ac:dyDescent="0.25">
      <c r="A66" s="1">
        <v>43658</v>
      </c>
      <c r="B66" t="s">
        <v>6</v>
      </c>
      <c r="C66" t="s">
        <v>7</v>
      </c>
      <c r="D66" t="s">
        <v>22</v>
      </c>
      <c r="E66" t="s">
        <v>23</v>
      </c>
      <c r="F66">
        <v>42</v>
      </c>
      <c r="G66">
        <v>3.49</v>
      </c>
      <c r="H66">
        <f>Sales_Data[[#This Row],[Quantity]]*Sales_Data[[#This Row],[UnitPrice]]</f>
        <v>146.58000000000001</v>
      </c>
    </row>
    <row r="67" spans="1:8" x14ac:dyDescent="0.25">
      <c r="A67" s="1">
        <v>43661</v>
      </c>
      <c r="B67" t="s">
        <v>19</v>
      </c>
      <c r="C67" t="s">
        <v>20</v>
      </c>
      <c r="D67" t="s">
        <v>13</v>
      </c>
      <c r="E67" t="s">
        <v>14</v>
      </c>
      <c r="F67">
        <v>75</v>
      </c>
      <c r="G67">
        <v>1.87</v>
      </c>
      <c r="H67">
        <f>Sales_Data[[#This Row],[Quantity]]*Sales_Data[[#This Row],[UnitPrice]]</f>
        <v>140.25</v>
      </c>
    </row>
    <row r="68" spans="1:8" x14ac:dyDescent="0.25">
      <c r="A68" s="1">
        <v>43664</v>
      </c>
      <c r="B68" t="s">
        <v>6</v>
      </c>
      <c r="C68" t="s">
        <v>18</v>
      </c>
      <c r="D68" t="s">
        <v>9</v>
      </c>
      <c r="E68" t="s">
        <v>11</v>
      </c>
      <c r="F68">
        <v>72</v>
      </c>
      <c r="G68">
        <v>1.8699999999999999</v>
      </c>
      <c r="H68">
        <f>Sales_Data[[#This Row],[Quantity]]*Sales_Data[[#This Row],[UnitPrice]]</f>
        <v>134.63999999999999</v>
      </c>
    </row>
    <row r="69" spans="1:8" x14ac:dyDescent="0.25">
      <c r="A69" s="1">
        <v>43667</v>
      </c>
      <c r="B69" t="s">
        <v>6</v>
      </c>
      <c r="C69" t="s">
        <v>18</v>
      </c>
      <c r="D69" t="s">
        <v>13</v>
      </c>
      <c r="E69" t="s">
        <v>15</v>
      </c>
      <c r="F69">
        <v>56</v>
      </c>
      <c r="G69">
        <v>2.84</v>
      </c>
      <c r="H69">
        <f>Sales_Data[[#This Row],[Quantity]]*Sales_Data[[#This Row],[UnitPrice]]</f>
        <v>159.04</v>
      </c>
    </row>
    <row r="70" spans="1:8" x14ac:dyDescent="0.25">
      <c r="A70" s="1">
        <v>43670</v>
      </c>
      <c r="B70" t="s">
        <v>19</v>
      </c>
      <c r="C70" t="s">
        <v>21</v>
      </c>
      <c r="D70" t="s">
        <v>9</v>
      </c>
      <c r="E70" t="s">
        <v>11</v>
      </c>
      <c r="F70">
        <v>51</v>
      </c>
      <c r="G70">
        <v>1.87</v>
      </c>
      <c r="H70">
        <f>Sales_Data[[#This Row],[Quantity]]*Sales_Data[[#This Row],[UnitPrice]]</f>
        <v>95.37</v>
      </c>
    </row>
    <row r="71" spans="1:8" x14ac:dyDescent="0.25">
      <c r="A71" s="1">
        <v>43673</v>
      </c>
      <c r="B71" t="s">
        <v>19</v>
      </c>
      <c r="C71" t="s">
        <v>21</v>
      </c>
      <c r="D71" t="s">
        <v>16</v>
      </c>
      <c r="E71" t="s">
        <v>17</v>
      </c>
      <c r="F71">
        <v>31</v>
      </c>
      <c r="G71">
        <v>1.68</v>
      </c>
      <c r="H71">
        <f>Sales_Data[[#This Row],[Quantity]]*Sales_Data[[#This Row],[UnitPrice]]</f>
        <v>52.08</v>
      </c>
    </row>
    <row r="72" spans="1:8" x14ac:dyDescent="0.25">
      <c r="A72" s="1">
        <v>43676</v>
      </c>
      <c r="B72" t="s">
        <v>6</v>
      </c>
      <c r="C72" t="s">
        <v>7</v>
      </c>
      <c r="D72" t="s">
        <v>9</v>
      </c>
      <c r="E72" t="s">
        <v>11</v>
      </c>
      <c r="F72">
        <v>56</v>
      </c>
      <c r="G72">
        <v>1.8699999999999999</v>
      </c>
      <c r="H72">
        <f>Sales_Data[[#This Row],[Quantity]]*Sales_Data[[#This Row],[UnitPrice]]</f>
        <v>104.72</v>
      </c>
    </row>
    <row r="73" spans="1:8" x14ac:dyDescent="0.25">
      <c r="A73" s="1">
        <v>43679</v>
      </c>
      <c r="B73" t="s">
        <v>6</v>
      </c>
      <c r="C73" t="s">
        <v>7</v>
      </c>
      <c r="D73" t="s">
        <v>13</v>
      </c>
      <c r="E73" t="s">
        <v>15</v>
      </c>
      <c r="F73">
        <v>137</v>
      </c>
      <c r="G73">
        <v>2.84</v>
      </c>
      <c r="H73">
        <f>Sales_Data[[#This Row],[Quantity]]*Sales_Data[[#This Row],[UnitPrice]]</f>
        <v>389.08</v>
      </c>
    </row>
    <row r="74" spans="1:8" x14ac:dyDescent="0.25">
      <c r="A74" s="1">
        <v>43682</v>
      </c>
      <c r="B74" t="s">
        <v>19</v>
      </c>
      <c r="C74" t="s">
        <v>20</v>
      </c>
      <c r="D74" t="s">
        <v>13</v>
      </c>
      <c r="E74" t="s">
        <v>14</v>
      </c>
      <c r="F74">
        <v>107</v>
      </c>
      <c r="G74">
        <v>1.87</v>
      </c>
      <c r="H74">
        <f>Sales_Data[[#This Row],[Quantity]]*Sales_Data[[#This Row],[UnitPrice]]</f>
        <v>200.09</v>
      </c>
    </row>
    <row r="75" spans="1:8" x14ac:dyDescent="0.25">
      <c r="A75" s="1">
        <v>43685</v>
      </c>
      <c r="B75" t="s">
        <v>6</v>
      </c>
      <c r="C75" t="s">
        <v>18</v>
      </c>
      <c r="D75" t="s">
        <v>9</v>
      </c>
      <c r="E75" t="s">
        <v>12</v>
      </c>
      <c r="F75">
        <v>24</v>
      </c>
      <c r="G75">
        <v>1.7699999999999998</v>
      </c>
      <c r="H75">
        <f>Sales_Data[[#This Row],[Quantity]]*Sales_Data[[#This Row],[UnitPrice]]</f>
        <v>42.48</v>
      </c>
    </row>
    <row r="76" spans="1:8" x14ac:dyDescent="0.25">
      <c r="A76" s="1">
        <v>43688</v>
      </c>
      <c r="B76" t="s">
        <v>6</v>
      </c>
      <c r="C76" t="s">
        <v>18</v>
      </c>
      <c r="D76" t="s">
        <v>22</v>
      </c>
      <c r="E76" t="s">
        <v>23</v>
      </c>
      <c r="F76">
        <v>30</v>
      </c>
      <c r="G76">
        <v>3.49</v>
      </c>
      <c r="H76">
        <f>Sales_Data[[#This Row],[Quantity]]*Sales_Data[[#This Row],[UnitPrice]]</f>
        <v>104.7</v>
      </c>
    </row>
    <row r="77" spans="1:8" x14ac:dyDescent="0.25">
      <c r="A77" s="1">
        <v>43691</v>
      </c>
      <c r="B77" t="s">
        <v>19</v>
      </c>
      <c r="C77" t="s">
        <v>21</v>
      </c>
      <c r="D77" t="s">
        <v>13</v>
      </c>
      <c r="E77" t="s">
        <v>14</v>
      </c>
      <c r="F77">
        <v>70</v>
      </c>
      <c r="G77">
        <v>1.87</v>
      </c>
      <c r="H77">
        <f>Sales_Data[[#This Row],[Quantity]]*Sales_Data[[#This Row],[UnitPrice]]</f>
        <v>130.9</v>
      </c>
    </row>
    <row r="78" spans="1:8" x14ac:dyDescent="0.25">
      <c r="A78" s="1">
        <v>43694</v>
      </c>
      <c r="B78" t="s">
        <v>6</v>
      </c>
      <c r="C78" t="s">
        <v>7</v>
      </c>
      <c r="D78" t="s">
        <v>13</v>
      </c>
      <c r="E78" t="s">
        <v>8</v>
      </c>
      <c r="F78">
        <v>31</v>
      </c>
      <c r="G78">
        <v>2.1800000000000002</v>
      </c>
      <c r="H78">
        <f>Sales_Data[[#This Row],[Quantity]]*Sales_Data[[#This Row],[UnitPrice]]</f>
        <v>67.58</v>
      </c>
    </row>
    <row r="79" spans="1:8" x14ac:dyDescent="0.25">
      <c r="A79" s="1">
        <v>43697</v>
      </c>
      <c r="B79" t="s">
        <v>6</v>
      </c>
      <c r="C79" t="s">
        <v>7</v>
      </c>
      <c r="D79" t="s">
        <v>9</v>
      </c>
      <c r="E79" t="s">
        <v>12</v>
      </c>
      <c r="F79">
        <v>109</v>
      </c>
      <c r="G79">
        <v>1.77</v>
      </c>
      <c r="H79">
        <f>Sales_Data[[#This Row],[Quantity]]*Sales_Data[[#This Row],[UnitPrice]]</f>
        <v>192.93</v>
      </c>
    </row>
    <row r="80" spans="1:8" x14ac:dyDescent="0.25">
      <c r="A80" s="1">
        <v>43700</v>
      </c>
      <c r="B80" t="s">
        <v>6</v>
      </c>
      <c r="C80" t="s">
        <v>7</v>
      </c>
      <c r="D80" t="s">
        <v>22</v>
      </c>
      <c r="E80" t="s">
        <v>23</v>
      </c>
      <c r="F80">
        <v>21</v>
      </c>
      <c r="G80">
        <v>3.49</v>
      </c>
      <c r="H80">
        <f>Sales_Data[[#This Row],[Quantity]]*Sales_Data[[#This Row],[UnitPrice]]</f>
        <v>73.290000000000006</v>
      </c>
    </row>
    <row r="81" spans="1:8" x14ac:dyDescent="0.25">
      <c r="A81" s="1">
        <v>43703</v>
      </c>
      <c r="B81" t="s">
        <v>19</v>
      </c>
      <c r="C81" t="s">
        <v>20</v>
      </c>
      <c r="D81" t="s">
        <v>13</v>
      </c>
      <c r="E81" t="s">
        <v>14</v>
      </c>
      <c r="F81">
        <v>80</v>
      </c>
      <c r="G81">
        <v>1.8699999999999999</v>
      </c>
      <c r="H81">
        <f>Sales_Data[[#This Row],[Quantity]]*Sales_Data[[#This Row],[UnitPrice]]</f>
        <v>149.6</v>
      </c>
    </row>
    <row r="82" spans="1:8" x14ac:dyDescent="0.25">
      <c r="A82" s="1">
        <v>43706</v>
      </c>
      <c r="B82" t="s">
        <v>6</v>
      </c>
      <c r="C82" t="s">
        <v>18</v>
      </c>
      <c r="D82" t="s">
        <v>9</v>
      </c>
      <c r="E82" t="s">
        <v>11</v>
      </c>
      <c r="F82">
        <v>75</v>
      </c>
      <c r="G82">
        <v>1.87</v>
      </c>
      <c r="H82">
        <f>Sales_Data[[#This Row],[Quantity]]*Sales_Data[[#This Row],[UnitPrice]]</f>
        <v>140.25</v>
      </c>
    </row>
    <row r="83" spans="1:8" x14ac:dyDescent="0.25">
      <c r="A83" s="1">
        <v>43709</v>
      </c>
      <c r="B83" t="s">
        <v>6</v>
      </c>
      <c r="C83" t="s">
        <v>18</v>
      </c>
      <c r="D83" t="s">
        <v>13</v>
      </c>
      <c r="E83" t="s">
        <v>15</v>
      </c>
      <c r="F83">
        <v>74</v>
      </c>
      <c r="G83">
        <v>2.84</v>
      </c>
      <c r="H83">
        <f>Sales_Data[[#This Row],[Quantity]]*Sales_Data[[#This Row],[UnitPrice]]</f>
        <v>210.16</v>
      </c>
    </row>
    <row r="84" spans="1:8" x14ac:dyDescent="0.25">
      <c r="A84" s="1">
        <v>43712</v>
      </c>
      <c r="B84" t="s">
        <v>19</v>
      </c>
      <c r="C84" t="s">
        <v>21</v>
      </c>
      <c r="D84" t="s">
        <v>9</v>
      </c>
      <c r="E84" t="s">
        <v>12</v>
      </c>
      <c r="F84">
        <v>45</v>
      </c>
      <c r="G84">
        <v>1.77</v>
      </c>
      <c r="H84">
        <f>Sales_Data[[#This Row],[Quantity]]*Sales_Data[[#This Row],[UnitPrice]]</f>
        <v>79.650000000000006</v>
      </c>
    </row>
    <row r="85" spans="1:8" x14ac:dyDescent="0.25">
      <c r="A85" s="1">
        <v>43715</v>
      </c>
      <c r="B85" t="s">
        <v>6</v>
      </c>
      <c r="C85" t="s">
        <v>7</v>
      </c>
      <c r="D85" t="s">
        <v>13</v>
      </c>
      <c r="E85" t="s">
        <v>8</v>
      </c>
      <c r="F85">
        <v>28</v>
      </c>
      <c r="G85">
        <v>2.1800000000000002</v>
      </c>
      <c r="H85">
        <f>Sales_Data[[#This Row],[Quantity]]*Sales_Data[[#This Row],[UnitPrice]]</f>
        <v>61.040000000000006</v>
      </c>
    </row>
    <row r="86" spans="1:8" x14ac:dyDescent="0.25">
      <c r="A86" s="1">
        <v>43718</v>
      </c>
      <c r="B86" t="s">
        <v>6</v>
      </c>
      <c r="C86" t="s">
        <v>7</v>
      </c>
      <c r="D86" t="s">
        <v>9</v>
      </c>
      <c r="E86" t="s">
        <v>12</v>
      </c>
      <c r="F86">
        <v>143</v>
      </c>
      <c r="G86">
        <v>1.77</v>
      </c>
      <c r="H86">
        <f>Sales_Data[[#This Row],[Quantity]]*Sales_Data[[#This Row],[UnitPrice]]</f>
        <v>253.11</v>
      </c>
    </row>
    <row r="87" spans="1:8" x14ac:dyDescent="0.25">
      <c r="A87" s="1">
        <v>43721</v>
      </c>
      <c r="B87" t="s">
        <v>6</v>
      </c>
      <c r="C87" t="s">
        <v>7</v>
      </c>
      <c r="D87" t="s">
        <v>16</v>
      </c>
      <c r="E87" t="s">
        <v>24</v>
      </c>
      <c r="F87">
        <v>27</v>
      </c>
      <c r="G87">
        <v>3.15</v>
      </c>
      <c r="H87">
        <f>Sales_Data[[#This Row],[Quantity]]*Sales_Data[[#This Row],[UnitPrice]]</f>
        <v>85.05</v>
      </c>
    </row>
    <row r="88" spans="1:8" x14ac:dyDescent="0.25">
      <c r="A88" s="1">
        <v>43724</v>
      </c>
      <c r="B88" t="s">
        <v>19</v>
      </c>
      <c r="C88" t="s">
        <v>20</v>
      </c>
      <c r="D88" t="s">
        <v>9</v>
      </c>
      <c r="E88" t="s">
        <v>12</v>
      </c>
      <c r="F88">
        <v>133</v>
      </c>
      <c r="G88">
        <v>1.77</v>
      </c>
      <c r="H88">
        <f>Sales_Data[[#This Row],[Quantity]]*Sales_Data[[#This Row],[UnitPrice]]</f>
        <v>235.41</v>
      </c>
    </row>
    <row r="89" spans="1:8" x14ac:dyDescent="0.25">
      <c r="A89" s="1">
        <v>43727</v>
      </c>
      <c r="B89" t="s">
        <v>6</v>
      </c>
      <c r="C89" t="s">
        <v>18</v>
      </c>
      <c r="D89" t="s">
        <v>13</v>
      </c>
      <c r="E89" t="s">
        <v>8</v>
      </c>
      <c r="F89">
        <v>110</v>
      </c>
      <c r="G89">
        <v>2.1800000000000002</v>
      </c>
      <c r="H89">
        <f>Sales_Data[[#This Row],[Quantity]]*Sales_Data[[#This Row],[UnitPrice]]</f>
        <v>239.8</v>
      </c>
    </row>
    <row r="90" spans="1:8" x14ac:dyDescent="0.25">
      <c r="A90" s="1">
        <v>43730</v>
      </c>
      <c r="B90" t="s">
        <v>6</v>
      </c>
      <c r="C90" t="s">
        <v>18</v>
      </c>
      <c r="D90" t="s">
        <v>13</v>
      </c>
      <c r="E90" t="s">
        <v>14</v>
      </c>
      <c r="F90">
        <v>65</v>
      </c>
      <c r="G90">
        <v>1.8699999999999999</v>
      </c>
      <c r="H90">
        <f>Sales_Data[[#This Row],[Quantity]]*Sales_Data[[#This Row],[UnitPrice]]</f>
        <v>121.55</v>
      </c>
    </row>
    <row r="91" spans="1:8" x14ac:dyDescent="0.25">
      <c r="A91" s="1">
        <v>43733</v>
      </c>
      <c r="B91" t="s">
        <v>19</v>
      </c>
      <c r="C91" t="s">
        <v>21</v>
      </c>
      <c r="D91" t="s">
        <v>9</v>
      </c>
      <c r="E91" t="s">
        <v>11</v>
      </c>
      <c r="F91">
        <v>33</v>
      </c>
      <c r="G91">
        <v>1.87</v>
      </c>
      <c r="H91">
        <f>Sales_Data[[#This Row],[Quantity]]*Sales_Data[[#This Row],[UnitPrice]]</f>
        <v>61.71</v>
      </c>
    </row>
    <row r="92" spans="1:8" x14ac:dyDescent="0.25">
      <c r="A92" s="1">
        <v>43736</v>
      </c>
      <c r="B92" t="s">
        <v>6</v>
      </c>
      <c r="C92" t="s">
        <v>7</v>
      </c>
      <c r="D92" t="s">
        <v>13</v>
      </c>
      <c r="E92" t="s">
        <v>8</v>
      </c>
      <c r="F92">
        <v>81</v>
      </c>
      <c r="G92">
        <v>2.1800000000000002</v>
      </c>
      <c r="H92">
        <f>Sales_Data[[#This Row],[Quantity]]*Sales_Data[[#This Row],[UnitPrice]]</f>
        <v>176.58</v>
      </c>
    </row>
    <row r="93" spans="1:8" x14ac:dyDescent="0.25">
      <c r="A93" s="1">
        <v>43739</v>
      </c>
      <c r="B93" t="s">
        <v>6</v>
      </c>
      <c r="C93" t="s">
        <v>7</v>
      </c>
      <c r="D93" t="s">
        <v>9</v>
      </c>
      <c r="E93" t="s">
        <v>12</v>
      </c>
      <c r="F93">
        <v>77</v>
      </c>
      <c r="G93">
        <v>1.7699999999999998</v>
      </c>
      <c r="H93">
        <f>Sales_Data[[#This Row],[Quantity]]*Sales_Data[[#This Row],[UnitPrice]]</f>
        <v>136.29</v>
      </c>
    </row>
    <row r="94" spans="1:8" x14ac:dyDescent="0.25">
      <c r="A94" s="1">
        <v>43742</v>
      </c>
      <c r="B94" t="s">
        <v>6</v>
      </c>
      <c r="C94" t="s">
        <v>7</v>
      </c>
      <c r="D94" t="s">
        <v>22</v>
      </c>
      <c r="E94" t="s">
        <v>23</v>
      </c>
      <c r="F94">
        <v>38</v>
      </c>
      <c r="G94">
        <v>3.49</v>
      </c>
      <c r="H94">
        <f>Sales_Data[[#This Row],[Quantity]]*Sales_Data[[#This Row],[UnitPrice]]</f>
        <v>132.62</v>
      </c>
    </row>
    <row r="95" spans="1:8" x14ac:dyDescent="0.25">
      <c r="A95" s="1">
        <v>43745</v>
      </c>
      <c r="B95" t="s">
        <v>19</v>
      </c>
      <c r="C95" t="s">
        <v>20</v>
      </c>
      <c r="D95" t="s">
        <v>9</v>
      </c>
      <c r="E95" t="s">
        <v>12</v>
      </c>
      <c r="F95">
        <v>40</v>
      </c>
      <c r="G95">
        <v>1.77</v>
      </c>
      <c r="H95">
        <f>Sales_Data[[#This Row],[Quantity]]*Sales_Data[[#This Row],[UnitPrice]]</f>
        <v>70.8</v>
      </c>
    </row>
    <row r="96" spans="1:8" x14ac:dyDescent="0.25">
      <c r="A96" s="1">
        <v>43748</v>
      </c>
      <c r="B96" t="s">
        <v>19</v>
      </c>
      <c r="C96" t="s">
        <v>20</v>
      </c>
      <c r="D96" t="s">
        <v>16</v>
      </c>
      <c r="E96" t="s">
        <v>17</v>
      </c>
      <c r="F96">
        <v>114</v>
      </c>
      <c r="G96">
        <v>1.6800000000000002</v>
      </c>
      <c r="H96">
        <f>Sales_Data[[#This Row],[Quantity]]*Sales_Data[[#This Row],[UnitPrice]]</f>
        <v>191.52</v>
      </c>
    </row>
    <row r="97" spans="1:8" x14ac:dyDescent="0.25">
      <c r="A97" s="1">
        <v>43751</v>
      </c>
      <c r="B97" t="s">
        <v>6</v>
      </c>
      <c r="C97" t="s">
        <v>18</v>
      </c>
      <c r="D97" t="s">
        <v>13</v>
      </c>
      <c r="E97" t="s">
        <v>8</v>
      </c>
      <c r="F97">
        <v>224</v>
      </c>
      <c r="G97">
        <v>2.1800000000000002</v>
      </c>
      <c r="H97">
        <f>Sales_Data[[#This Row],[Quantity]]*Sales_Data[[#This Row],[UnitPrice]]</f>
        <v>488.32000000000005</v>
      </c>
    </row>
    <row r="98" spans="1:8" x14ac:dyDescent="0.25">
      <c r="A98" s="1">
        <v>43754</v>
      </c>
      <c r="B98" t="s">
        <v>6</v>
      </c>
      <c r="C98" t="s">
        <v>18</v>
      </c>
      <c r="D98" t="s">
        <v>9</v>
      </c>
      <c r="E98" t="s">
        <v>12</v>
      </c>
      <c r="F98">
        <v>141</v>
      </c>
      <c r="G98">
        <v>1.77</v>
      </c>
      <c r="H98">
        <f>Sales_Data[[#This Row],[Quantity]]*Sales_Data[[#This Row],[UnitPrice]]</f>
        <v>249.57</v>
      </c>
    </row>
    <row r="99" spans="1:8" x14ac:dyDescent="0.25">
      <c r="A99" s="1">
        <v>43757</v>
      </c>
      <c r="B99" t="s">
        <v>6</v>
      </c>
      <c r="C99" t="s">
        <v>18</v>
      </c>
      <c r="D99" t="s">
        <v>22</v>
      </c>
      <c r="E99" t="s">
        <v>23</v>
      </c>
      <c r="F99">
        <v>32</v>
      </c>
      <c r="G99">
        <v>3.49</v>
      </c>
      <c r="H99">
        <f>Sales_Data[[#This Row],[Quantity]]*Sales_Data[[#This Row],[UnitPrice]]</f>
        <v>111.68</v>
      </c>
    </row>
    <row r="100" spans="1:8" x14ac:dyDescent="0.25">
      <c r="A100" s="1">
        <v>43760</v>
      </c>
      <c r="B100" t="s">
        <v>19</v>
      </c>
      <c r="C100" t="s">
        <v>21</v>
      </c>
      <c r="D100" t="s">
        <v>9</v>
      </c>
      <c r="E100" t="s">
        <v>12</v>
      </c>
      <c r="F100">
        <v>20</v>
      </c>
      <c r="G100">
        <v>1.77</v>
      </c>
      <c r="H100">
        <f>Sales_Data[[#This Row],[Quantity]]*Sales_Data[[#This Row],[UnitPrice]]</f>
        <v>35.4</v>
      </c>
    </row>
    <row r="101" spans="1:8" x14ac:dyDescent="0.25">
      <c r="A101" s="1">
        <v>43763</v>
      </c>
      <c r="B101" t="s">
        <v>6</v>
      </c>
      <c r="C101" t="s">
        <v>7</v>
      </c>
      <c r="D101" t="s">
        <v>13</v>
      </c>
      <c r="E101" t="s">
        <v>8</v>
      </c>
      <c r="F101">
        <v>40</v>
      </c>
      <c r="G101">
        <v>2.1800000000000002</v>
      </c>
      <c r="H101">
        <f>Sales_Data[[#This Row],[Quantity]]*Sales_Data[[#This Row],[UnitPrice]]</f>
        <v>87.2</v>
      </c>
    </row>
    <row r="102" spans="1:8" x14ac:dyDescent="0.25">
      <c r="A102" s="1">
        <v>43766</v>
      </c>
      <c r="B102" t="s">
        <v>6</v>
      </c>
      <c r="C102" t="s">
        <v>7</v>
      </c>
      <c r="D102" t="s">
        <v>13</v>
      </c>
      <c r="E102" t="s">
        <v>14</v>
      </c>
      <c r="F102">
        <v>49</v>
      </c>
      <c r="G102">
        <v>1.8699999999999999</v>
      </c>
      <c r="H102">
        <f>Sales_Data[[#This Row],[Quantity]]*Sales_Data[[#This Row],[UnitPrice]]</f>
        <v>91.63</v>
      </c>
    </row>
    <row r="103" spans="1:8" x14ac:dyDescent="0.25">
      <c r="A103" s="1">
        <v>43769</v>
      </c>
      <c r="B103" t="s">
        <v>6</v>
      </c>
      <c r="C103" t="s">
        <v>7</v>
      </c>
      <c r="D103" t="s">
        <v>22</v>
      </c>
      <c r="E103" t="s">
        <v>23</v>
      </c>
      <c r="F103">
        <v>46</v>
      </c>
      <c r="G103">
        <v>3.4899999999999998</v>
      </c>
      <c r="H103">
        <f>Sales_Data[[#This Row],[Quantity]]*Sales_Data[[#This Row],[UnitPrice]]</f>
        <v>160.54</v>
      </c>
    </row>
    <row r="104" spans="1:8" x14ac:dyDescent="0.25">
      <c r="A104" s="1">
        <v>43772</v>
      </c>
      <c r="B104" t="s">
        <v>19</v>
      </c>
      <c r="C104" t="s">
        <v>20</v>
      </c>
      <c r="D104" t="s">
        <v>9</v>
      </c>
      <c r="E104" t="s">
        <v>12</v>
      </c>
      <c r="F104">
        <v>39</v>
      </c>
      <c r="G104">
        <v>1.77</v>
      </c>
      <c r="H104">
        <f>Sales_Data[[#This Row],[Quantity]]*Sales_Data[[#This Row],[UnitPrice]]</f>
        <v>69.03</v>
      </c>
    </row>
    <row r="105" spans="1:8" x14ac:dyDescent="0.25">
      <c r="A105" s="1">
        <v>43775</v>
      </c>
      <c r="B105" t="s">
        <v>19</v>
      </c>
      <c r="C105" t="s">
        <v>20</v>
      </c>
      <c r="D105" t="s">
        <v>16</v>
      </c>
      <c r="E105" t="s">
        <v>17</v>
      </c>
      <c r="F105">
        <v>62</v>
      </c>
      <c r="G105">
        <v>1.68</v>
      </c>
      <c r="H105">
        <f>Sales_Data[[#This Row],[Quantity]]*Sales_Data[[#This Row],[UnitPrice]]</f>
        <v>104.16</v>
      </c>
    </row>
    <row r="106" spans="1:8" x14ac:dyDescent="0.25">
      <c r="A106" s="1">
        <v>43778</v>
      </c>
      <c r="B106" t="s">
        <v>6</v>
      </c>
      <c r="C106" t="s">
        <v>18</v>
      </c>
      <c r="D106" t="s">
        <v>9</v>
      </c>
      <c r="E106" t="s">
        <v>12</v>
      </c>
      <c r="F106">
        <v>90</v>
      </c>
      <c r="G106">
        <v>1.77</v>
      </c>
      <c r="H106">
        <f>Sales_Data[[#This Row],[Quantity]]*Sales_Data[[#This Row],[UnitPrice]]</f>
        <v>159.30000000000001</v>
      </c>
    </row>
    <row r="107" spans="1:8" x14ac:dyDescent="0.25">
      <c r="A107" s="1">
        <v>43781</v>
      </c>
      <c r="B107" t="s">
        <v>19</v>
      </c>
      <c r="C107" t="s">
        <v>21</v>
      </c>
      <c r="D107" t="s">
        <v>13</v>
      </c>
      <c r="E107" t="s">
        <v>8</v>
      </c>
      <c r="F107">
        <v>103</v>
      </c>
      <c r="G107">
        <v>2.1799999999999997</v>
      </c>
      <c r="H107">
        <f>Sales_Data[[#This Row],[Quantity]]*Sales_Data[[#This Row],[UnitPrice]]</f>
        <v>224.53999999999996</v>
      </c>
    </row>
    <row r="108" spans="1:8" x14ac:dyDescent="0.25">
      <c r="A108" s="1">
        <v>43784</v>
      </c>
      <c r="B108" t="s">
        <v>19</v>
      </c>
      <c r="C108" t="s">
        <v>21</v>
      </c>
      <c r="D108" t="s">
        <v>13</v>
      </c>
      <c r="E108" t="s">
        <v>15</v>
      </c>
      <c r="F108">
        <v>32</v>
      </c>
      <c r="G108">
        <v>2.84</v>
      </c>
      <c r="H108">
        <f>Sales_Data[[#This Row],[Quantity]]*Sales_Data[[#This Row],[UnitPrice]]</f>
        <v>90.88</v>
      </c>
    </row>
    <row r="109" spans="1:8" x14ac:dyDescent="0.25">
      <c r="A109" s="1">
        <v>43787</v>
      </c>
      <c r="B109" t="s">
        <v>6</v>
      </c>
      <c r="C109" t="s">
        <v>7</v>
      </c>
      <c r="D109" t="s">
        <v>9</v>
      </c>
      <c r="E109" t="s">
        <v>11</v>
      </c>
      <c r="F109">
        <v>66</v>
      </c>
      <c r="G109">
        <v>1.87</v>
      </c>
      <c r="H109">
        <f>Sales_Data[[#This Row],[Quantity]]*Sales_Data[[#This Row],[UnitPrice]]</f>
        <v>123.42</v>
      </c>
    </row>
    <row r="110" spans="1:8" x14ac:dyDescent="0.25">
      <c r="A110" s="1">
        <v>43790</v>
      </c>
      <c r="B110" t="s">
        <v>6</v>
      </c>
      <c r="C110" t="s">
        <v>7</v>
      </c>
      <c r="D110" t="s">
        <v>13</v>
      </c>
      <c r="E110" t="s">
        <v>15</v>
      </c>
      <c r="F110">
        <v>97</v>
      </c>
      <c r="G110">
        <v>2.8400000000000003</v>
      </c>
      <c r="H110">
        <f>Sales_Data[[#This Row],[Quantity]]*Sales_Data[[#This Row],[UnitPrice]]</f>
        <v>275.48</v>
      </c>
    </row>
    <row r="111" spans="1:8" x14ac:dyDescent="0.25">
      <c r="A111" s="1">
        <v>43793</v>
      </c>
      <c r="B111" t="s">
        <v>19</v>
      </c>
      <c r="C111" t="s">
        <v>20</v>
      </c>
      <c r="D111" t="s">
        <v>9</v>
      </c>
      <c r="E111" t="s">
        <v>12</v>
      </c>
      <c r="F111">
        <v>30</v>
      </c>
      <c r="G111">
        <v>1.77</v>
      </c>
      <c r="H111">
        <f>Sales_Data[[#This Row],[Quantity]]*Sales_Data[[#This Row],[UnitPrice]]</f>
        <v>53.1</v>
      </c>
    </row>
    <row r="112" spans="1:8" x14ac:dyDescent="0.25">
      <c r="A112" s="1">
        <v>43796</v>
      </c>
      <c r="B112" t="s">
        <v>19</v>
      </c>
      <c r="C112" t="s">
        <v>20</v>
      </c>
      <c r="D112" t="s">
        <v>16</v>
      </c>
      <c r="E112" t="s">
        <v>17</v>
      </c>
      <c r="F112">
        <v>29</v>
      </c>
      <c r="G112">
        <v>1.68</v>
      </c>
      <c r="H112">
        <f>Sales_Data[[#This Row],[Quantity]]*Sales_Data[[#This Row],[UnitPrice]]</f>
        <v>48.72</v>
      </c>
    </row>
    <row r="113" spans="1:8" x14ac:dyDescent="0.25">
      <c r="A113" s="1">
        <v>43799</v>
      </c>
      <c r="B113" t="s">
        <v>6</v>
      </c>
      <c r="C113" t="s">
        <v>18</v>
      </c>
      <c r="D113" t="s">
        <v>9</v>
      </c>
      <c r="E113" t="s">
        <v>12</v>
      </c>
      <c r="F113">
        <v>92</v>
      </c>
      <c r="G113">
        <v>1.77</v>
      </c>
      <c r="H113">
        <f>Sales_Data[[#This Row],[Quantity]]*Sales_Data[[#This Row],[UnitPrice]]</f>
        <v>162.84</v>
      </c>
    </row>
    <row r="114" spans="1:8" x14ac:dyDescent="0.25">
      <c r="A114" s="1">
        <v>43802</v>
      </c>
      <c r="B114" t="s">
        <v>19</v>
      </c>
      <c r="C114" t="s">
        <v>21</v>
      </c>
      <c r="D114" t="s">
        <v>13</v>
      </c>
      <c r="E114" t="s">
        <v>8</v>
      </c>
      <c r="F114">
        <v>139</v>
      </c>
      <c r="G114">
        <v>2.1799999999999997</v>
      </c>
      <c r="H114">
        <f>Sales_Data[[#This Row],[Quantity]]*Sales_Data[[#This Row],[UnitPrice]]</f>
        <v>303.02</v>
      </c>
    </row>
    <row r="115" spans="1:8" x14ac:dyDescent="0.25">
      <c r="A115" s="1">
        <v>43805</v>
      </c>
      <c r="B115" t="s">
        <v>19</v>
      </c>
      <c r="C115" t="s">
        <v>21</v>
      </c>
      <c r="D115" t="s">
        <v>13</v>
      </c>
      <c r="E115" t="s">
        <v>15</v>
      </c>
      <c r="F115">
        <v>29</v>
      </c>
      <c r="G115">
        <v>2.84</v>
      </c>
      <c r="H115">
        <f>Sales_Data[[#This Row],[Quantity]]*Sales_Data[[#This Row],[UnitPrice]]</f>
        <v>82.36</v>
      </c>
    </row>
    <row r="116" spans="1:8" x14ac:dyDescent="0.25">
      <c r="A116" s="1">
        <v>43808</v>
      </c>
      <c r="B116" t="s">
        <v>6</v>
      </c>
      <c r="C116" t="s">
        <v>7</v>
      </c>
      <c r="D116" t="s">
        <v>9</v>
      </c>
      <c r="E116" t="s">
        <v>10</v>
      </c>
      <c r="F116">
        <v>30</v>
      </c>
      <c r="G116">
        <v>2.27</v>
      </c>
      <c r="H116">
        <f>Sales_Data[[#This Row],[Quantity]]*Sales_Data[[#This Row],[UnitPrice]]</f>
        <v>68.099999999999994</v>
      </c>
    </row>
    <row r="117" spans="1:8" x14ac:dyDescent="0.25">
      <c r="A117" s="1">
        <v>43811</v>
      </c>
      <c r="B117" t="s">
        <v>6</v>
      </c>
      <c r="C117" t="s">
        <v>7</v>
      </c>
      <c r="D117" t="s">
        <v>13</v>
      </c>
      <c r="E117" t="s">
        <v>14</v>
      </c>
      <c r="F117">
        <v>36</v>
      </c>
      <c r="G117">
        <v>1.8699999999999999</v>
      </c>
      <c r="H117">
        <f>Sales_Data[[#This Row],[Quantity]]*Sales_Data[[#This Row],[UnitPrice]]</f>
        <v>67.319999999999993</v>
      </c>
    </row>
    <row r="118" spans="1:8" x14ac:dyDescent="0.25">
      <c r="A118" s="1">
        <v>43814</v>
      </c>
      <c r="B118" t="s">
        <v>6</v>
      </c>
      <c r="C118" t="s">
        <v>7</v>
      </c>
      <c r="D118" t="s">
        <v>22</v>
      </c>
      <c r="E118" t="s">
        <v>23</v>
      </c>
      <c r="F118">
        <v>41</v>
      </c>
      <c r="G118">
        <v>3.49</v>
      </c>
      <c r="H118">
        <f>Sales_Data[[#This Row],[Quantity]]*Sales_Data[[#This Row],[UnitPrice]]</f>
        <v>143.09</v>
      </c>
    </row>
    <row r="119" spans="1:8" x14ac:dyDescent="0.25">
      <c r="A119" s="1">
        <v>43817</v>
      </c>
      <c r="B119" t="s">
        <v>19</v>
      </c>
      <c r="C119" t="s">
        <v>20</v>
      </c>
      <c r="D119" t="s">
        <v>9</v>
      </c>
      <c r="E119" t="s">
        <v>12</v>
      </c>
      <c r="F119">
        <v>44</v>
      </c>
      <c r="G119">
        <v>1.7699999999999998</v>
      </c>
      <c r="H119">
        <f>Sales_Data[[#This Row],[Quantity]]*Sales_Data[[#This Row],[UnitPrice]]</f>
        <v>77.88</v>
      </c>
    </row>
    <row r="120" spans="1:8" x14ac:dyDescent="0.25">
      <c r="A120" s="1">
        <v>43820</v>
      </c>
      <c r="B120" t="s">
        <v>19</v>
      </c>
      <c r="C120" t="s">
        <v>20</v>
      </c>
      <c r="D120" t="s">
        <v>16</v>
      </c>
      <c r="E120" t="s">
        <v>17</v>
      </c>
      <c r="F120">
        <v>29</v>
      </c>
      <c r="G120">
        <v>1.68</v>
      </c>
      <c r="H120">
        <f>Sales_Data[[#This Row],[Quantity]]*Sales_Data[[#This Row],[UnitPrice]]</f>
        <v>48.72</v>
      </c>
    </row>
    <row r="121" spans="1:8" x14ac:dyDescent="0.25">
      <c r="A121" s="1">
        <v>43823</v>
      </c>
      <c r="B121" t="s">
        <v>6</v>
      </c>
      <c r="C121" t="s">
        <v>18</v>
      </c>
      <c r="D121" t="s">
        <v>13</v>
      </c>
      <c r="E121" t="s">
        <v>8</v>
      </c>
      <c r="F121">
        <v>237</v>
      </c>
      <c r="G121">
        <v>2.1799999999999997</v>
      </c>
      <c r="H121">
        <f>Sales_Data[[#This Row],[Quantity]]*Sales_Data[[#This Row],[UnitPrice]]</f>
        <v>516.66</v>
      </c>
    </row>
    <row r="122" spans="1:8" x14ac:dyDescent="0.25">
      <c r="A122" s="1">
        <v>43826</v>
      </c>
      <c r="B122" t="s">
        <v>6</v>
      </c>
      <c r="C122" t="s">
        <v>18</v>
      </c>
      <c r="D122" t="s">
        <v>13</v>
      </c>
      <c r="E122" t="s">
        <v>14</v>
      </c>
      <c r="F122">
        <v>65</v>
      </c>
      <c r="G122">
        <v>1.8699999999999999</v>
      </c>
      <c r="H122">
        <f>Sales_Data[[#This Row],[Quantity]]*Sales_Data[[#This Row],[UnitPrice]]</f>
        <v>121.55</v>
      </c>
    </row>
    <row r="123" spans="1:8" x14ac:dyDescent="0.25">
      <c r="A123" s="1">
        <v>43829</v>
      </c>
      <c r="B123" t="s">
        <v>19</v>
      </c>
      <c r="C123" t="s">
        <v>21</v>
      </c>
      <c r="D123" t="s">
        <v>13</v>
      </c>
      <c r="E123" t="s">
        <v>8</v>
      </c>
      <c r="F123">
        <v>83</v>
      </c>
      <c r="G123">
        <v>2.1800000000000002</v>
      </c>
      <c r="H123">
        <f>Sales_Data[[#This Row],[Quantity]]*Sales_Data[[#This Row],[UnitPrice]]</f>
        <v>180.94000000000003</v>
      </c>
    </row>
    <row r="124" spans="1:8" x14ac:dyDescent="0.25">
      <c r="A124" s="1">
        <v>43832</v>
      </c>
      <c r="B124" t="s">
        <v>6</v>
      </c>
      <c r="C124" t="s">
        <v>7</v>
      </c>
      <c r="D124" t="s">
        <v>13</v>
      </c>
      <c r="E124" t="s">
        <v>8</v>
      </c>
      <c r="F124">
        <v>32</v>
      </c>
      <c r="G124">
        <v>2.1800000000000002</v>
      </c>
      <c r="H124">
        <f>Sales_Data[[#This Row],[Quantity]]*Sales_Data[[#This Row],[UnitPrice]]</f>
        <v>69.760000000000005</v>
      </c>
    </row>
    <row r="125" spans="1:8" x14ac:dyDescent="0.25">
      <c r="A125" s="1">
        <v>43835</v>
      </c>
      <c r="B125" t="s">
        <v>6</v>
      </c>
      <c r="C125" t="s">
        <v>7</v>
      </c>
      <c r="D125" t="s">
        <v>9</v>
      </c>
      <c r="E125" t="s">
        <v>12</v>
      </c>
      <c r="F125">
        <v>63</v>
      </c>
      <c r="G125">
        <v>1.77</v>
      </c>
      <c r="H125">
        <f>Sales_Data[[#This Row],[Quantity]]*Sales_Data[[#This Row],[UnitPrice]]</f>
        <v>111.51</v>
      </c>
    </row>
    <row r="126" spans="1:8" x14ac:dyDescent="0.25">
      <c r="A126" s="1">
        <v>43838</v>
      </c>
      <c r="B126" t="s">
        <v>6</v>
      </c>
      <c r="C126" t="s">
        <v>7</v>
      </c>
      <c r="D126" t="s">
        <v>16</v>
      </c>
      <c r="E126" t="s">
        <v>24</v>
      </c>
      <c r="F126">
        <v>29</v>
      </c>
      <c r="G126">
        <v>3.15</v>
      </c>
      <c r="H126">
        <f>Sales_Data[[#This Row],[Quantity]]*Sales_Data[[#This Row],[UnitPrice]]</f>
        <v>91.35</v>
      </c>
    </row>
    <row r="127" spans="1:8" x14ac:dyDescent="0.25">
      <c r="A127" s="1">
        <v>43841</v>
      </c>
      <c r="B127" t="s">
        <v>19</v>
      </c>
      <c r="C127" t="s">
        <v>20</v>
      </c>
      <c r="D127" t="s">
        <v>9</v>
      </c>
      <c r="E127" t="s">
        <v>11</v>
      </c>
      <c r="F127">
        <v>77</v>
      </c>
      <c r="G127">
        <v>1.87</v>
      </c>
      <c r="H127">
        <f>Sales_Data[[#This Row],[Quantity]]*Sales_Data[[#This Row],[UnitPrice]]</f>
        <v>143.99</v>
      </c>
    </row>
    <row r="128" spans="1:8" x14ac:dyDescent="0.25">
      <c r="A128" s="1">
        <v>43844</v>
      </c>
      <c r="B128" t="s">
        <v>19</v>
      </c>
      <c r="C128" t="s">
        <v>20</v>
      </c>
      <c r="D128" t="s">
        <v>13</v>
      </c>
      <c r="E128" t="s">
        <v>15</v>
      </c>
      <c r="F128">
        <v>80</v>
      </c>
      <c r="G128">
        <v>2.84</v>
      </c>
      <c r="H128">
        <f>Sales_Data[[#This Row],[Quantity]]*Sales_Data[[#This Row],[UnitPrice]]</f>
        <v>227.2</v>
      </c>
    </row>
    <row r="129" spans="1:8" x14ac:dyDescent="0.25">
      <c r="A129" s="1">
        <v>43847</v>
      </c>
      <c r="B129" t="s">
        <v>6</v>
      </c>
      <c r="C129" t="s">
        <v>18</v>
      </c>
      <c r="D129" t="s">
        <v>9</v>
      </c>
      <c r="E129" t="s">
        <v>12</v>
      </c>
      <c r="F129">
        <v>102</v>
      </c>
      <c r="G129">
        <v>1.77</v>
      </c>
      <c r="H129">
        <f>Sales_Data[[#This Row],[Quantity]]*Sales_Data[[#This Row],[UnitPrice]]</f>
        <v>180.54</v>
      </c>
    </row>
    <row r="130" spans="1:8" x14ac:dyDescent="0.25">
      <c r="A130" s="1">
        <v>43850</v>
      </c>
      <c r="B130" t="s">
        <v>6</v>
      </c>
      <c r="C130" t="s">
        <v>18</v>
      </c>
      <c r="D130" t="s">
        <v>22</v>
      </c>
      <c r="E130" t="s">
        <v>23</v>
      </c>
      <c r="F130">
        <v>31</v>
      </c>
      <c r="G130">
        <v>3.4899999999999998</v>
      </c>
      <c r="H130">
        <f>Sales_Data[[#This Row],[Quantity]]*Sales_Data[[#This Row],[UnitPrice]]</f>
        <v>108.19</v>
      </c>
    </row>
    <row r="131" spans="1:8" x14ac:dyDescent="0.25">
      <c r="A131" s="1">
        <v>43853</v>
      </c>
      <c r="B131" t="s">
        <v>19</v>
      </c>
      <c r="C131" t="s">
        <v>21</v>
      </c>
      <c r="D131" t="s">
        <v>9</v>
      </c>
      <c r="E131" t="s">
        <v>12</v>
      </c>
      <c r="F131">
        <v>56</v>
      </c>
      <c r="G131">
        <v>1.77</v>
      </c>
      <c r="H131">
        <f>Sales_Data[[#This Row],[Quantity]]*Sales_Data[[#This Row],[UnitPrice]]</f>
        <v>99.12</v>
      </c>
    </row>
    <row r="132" spans="1:8" x14ac:dyDescent="0.25">
      <c r="A132" s="1">
        <v>43856</v>
      </c>
      <c r="B132" t="s">
        <v>6</v>
      </c>
      <c r="C132" t="s">
        <v>7</v>
      </c>
      <c r="D132" t="s">
        <v>13</v>
      </c>
      <c r="E132" t="s">
        <v>8</v>
      </c>
      <c r="F132">
        <v>52</v>
      </c>
      <c r="G132">
        <v>2.1800000000000002</v>
      </c>
      <c r="H132">
        <f>Sales_Data[[#This Row],[Quantity]]*Sales_Data[[#This Row],[UnitPrice]]</f>
        <v>113.36000000000001</v>
      </c>
    </row>
    <row r="133" spans="1:8" x14ac:dyDescent="0.25">
      <c r="A133" s="1">
        <v>43859</v>
      </c>
      <c r="B133" t="s">
        <v>6</v>
      </c>
      <c r="C133" t="s">
        <v>7</v>
      </c>
      <c r="D133" t="s">
        <v>9</v>
      </c>
      <c r="E133" t="s">
        <v>12</v>
      </c>
      <c r="F133">
        <v>51</v>
      </c>
      <c r="G133">
        <v>1.77</v>
      </c>
      <c r="H133">
        <f>Sales_Data[[#This Row],[Quantity]]*Sales_Data[[#This Row],[UnitPrice]]</f>
        <v>90.27</v>
      </c>
    </row>
    <row r="134" spans="1:8" x14ac:dyDescent="0.25">
      <c r="A134" s="1">
        <v>43862</v>
      </c>
      <c r="B134" t="s">
        <v>6</v>
      </c>
      <c r="C134" t="s">
        <v>7</v>
      </c>
      <c r="D134" t="s">
        <v>16</v>
      </c>
      <c r="E134" t="s">
        <v>17</v>
      </c>
      <c r="F134">
        <v>24</v>
      </c>
      <c r="G134">
        <v>1.68</v>
      </c>
      <c r="H134">
        <f>Sales_Data[[#This Row],[Quantity]]*Sales_Data[[#This Row],[UnitPrice]]</f>
        <v>40.32</v>
      </c>
    </row>
    <row r="135" spans="1:8" x14ac:dyDescent="0.25">
      <c r="A135" s="1">
        <v>43865</v>
      </c>
      <c r="B135" t="s">
        <v>19</v>
      </c>
      <c r="C135" t="s">
        <v>20</v>
      </c>
      <c r="D135" t="s">
        <v>13</v>
      </c>
      <c r="E135" t="s">
        <v>8</v>
      </c>
      <c r="F135">
        <v>58</v>
      </c>
      <c r="G135">
        <v>2.1800000000000002</v>
      </c>
      <c r="H135">
        <f>Sales_Data[[#This Row],[Quantity]]*Sales_Data[[#This Row],[UnitPrice]]</f>
        <v>126.44000000000001</v>
      </c>
    </row>
    <row r="136" spans="1:8" x14ac:dyDescent="0.25">
      <c r="A136" s="1">
        <v>43868</v>
      </c>
      <c r="B136" t="s">
        <v>19</v>
      </c>
      <c r="C136" t="s">
        <v>20</v>
      </c>
      <c r="D136" t="s">
        <v>13</v>
      </c>
      <c r="E136" t="s">
        <v>14</v>
      </c>
      <c r="F136">
        <v>34</v>
      </c>
      <c r="G136">
        <v>1.8699999999999999</v>
      </c>
      <c r="H136">
        <f>Sales_Data[[#This Row],[Quantity]]*Sales_Data[[#This Row],[UnitPrice]]</f>
        <v>63.58</v>
      </c>
    </row>
    <row r="137" spans="1:8" x14ac:dyDescent="0.25">
      <c r="A137" s="1">
        <v>43871</v>
      </c>
      <c r="B137" t="s">
        <v>6</v>
      </c>
      <c r="C137" t="s">
        <v>18</v>
      </c>
      <c r="D137" t="s">
        <v>9</v>
      </c>
      <c r="E137" t="s">
        <v>12</v>
      </c>
      <c r="F137">
        <v>34</v>
      </c>
      <c r="G137">
        <v>1.77</v>
      </c>
      <c r="H137">
        <f>Sales_Data[[#This Row],[Quantity]]*Sales_Data[[#This Row],[UnitPrice]]</f>
        <v>60.18</v>
      </c>
    </row>
    <row r="138" spans="1:8" x14ac:dyDescent="0.25">
      <c r="A138" s="1">
        <v>43874</v>
      </c>
      <c r="B138" t="s">
        <v>6</v>
      </c>
      <c r="C138" t="s">
        <v>18</v>
      </c>
      <c r="D138" t="s">
        <v>16</v>
      </c>
      <c r="E138" t="s">
        <v>17</v>
      </c>
      <c r="F138">
        <v>21</v>
      </c>
      <c r="G138">
        <v>1.6800000000000002</v>
      </c>
      <c r="H138">
        <f>Sales_Data[[#This Row],[Quantity]]*Sales_Data[[#This Row],[UnitPrice]]</f>
        <v>35.28</v>
      </c>
    </row>
    <row r="139" spans="1:8" x14ac:dyDescent="0.25">
      <c r="A139" s="1">
        <v>43877</v>
      </c>
      <c r="B139" t="s">
        <v>19</v>
      </c>
      <c r="C139" t="s">
        <v>21</v>
      </c>
      <c r="D139" t="s">
        <v>13</v>
      </c>
      <c r="E139" t="s">
        <v>15</v>
      </c>
      <c r="F139">
        <v>29</v>
      </c>
      <c r="G139">
        <v>2.84</v>
      </c>
      <c r="H139">
        <f>Sales_Data[[#This Row],[Quantity]]*Sales_Data[[#This Row],[UnitPrice]]</f>
        <v>82.36</v>
      </c>
    </row>
    <row r="140" spans="1:8" x14ac:dyDescent="0.25">
      <c r="A140" s="1">
        <v>43880</v>
      </c>
      <c r="B140" t="s">
        <v>6</v>
      </c>
      <c r="C140" t="s">
        <v>7</v>
      </c>
      <c r="D140" t="s">
        <v>9</v>
      </c>
      <c r="E140" t="s">
        <v>12</v>
      </c>
      <c r="F140">
        <v>68</v>
      </c>
      <c r="G140">
        <v>1.77</v>
      </c>
      <c r="H140">
        <f>Sales_Data[[#This Row],[Quantity]]*Sales_Data[[#This Row],[UnitPrice]]</f>
        <v>120.36</v>
      </c>
    </row>
    <row r="141" spans="1:8" x14ac:dyDescent="0.25">
      <c r="A141" s="1">
        <v>43883</v>
      </c>
      <c r="B141" t="s">
        <v>6</v>
      </c>
      <c r="C141" t="s">
        <v>7</v>
      </c>
      <c r="D141" t="s">
        <v>16</v>
      </c>
      <c r="E141" t="s">
        <v>24</v>
      </c>
      <c r="F141">
        <v>31</v>
      </c>
      <c r="G141">
        <v>3.1500000000000004</v>
      </c>
      <c r="H141">
        <f>Sales_Data[[#This Row],[Quantity]]*Sales_Data[[#This Row],[UnitPrice]]</f>
        <v>97.65</v>
      </c>
    </row>
    <row r="142" spans="1:8" x14ac:dyDescent="0.25">
      <c r="A142" s="1">
        <v>43886</v>
      </c>
      <c r="B142" t="s">
        <v>19</v>
      </c>
      <c r="C142" t="s">
        <v>20</v>
      </c>
      <c r="D142" t="s">
        <v>13</v>
      </c>
      <c r="E142" t="s">
        <v>8</v>
      </c>
      <c r="F142">
        <v>30</v>
      </c>
      <c r="G142">
        <v>2.1800000000000002</v>
      </c>
      <c r="H142">
        <f>Sales_Data[[#This Row],[Quantity]]*Sales_Data[[#This Row],[UnitPrice]]</f>
        <v>65.400000000000006</v>
      </c>
    </row>
    <row r="143" spans="1:8" x14ac:dyDescent="0.25">
      <c r="A143" s="1">
        <v>43889</v>
      </c>
      <c r="B143" t="s">
        <v>19</v>
      </c>
      <c r="C143" t="s">
        <v>20</v>
      </c>
      <c r="D143" t="s">
        <v>13</v>
      </c>
      <c r="E143" t="s">
        <v>14</v>
      </c>
      <c r="F143">
        <v>232</v>
      </c>
      <c r="G143">
        <v>1.8699999999999999</v>
      </c>
      <c r="H143">
        <f>Sales_Data[[#This Row],[Quantity]]*Sales_Data[[#This Row],[UnitPrice]]</f>
        <v>433.84</v>
      </c>
    </row>
    <row r="144" spans="1:8" x14ac:dyDescent="0.25">
      <c r="A144" s="1">
        <v>43892</v>
      </c>
      <c r="B144" t="s">
        <v>6</v>
      </c>
      <c r="C144" t="s">
        <v>18</v>
      </c>
      <c r="D144" t="s">
        <v>9</v>
      </c>
      <c r="E144" t="s">
        <v>11</v>
      </c>
      <c r="F144">
        <v>68</v>
      </c>
      <c r="G144">
        <v>1.8699999999999999</v>
      </c>
      <c r="H144">
        <f>Sales_Data[[#This Row],[Quantity]]*Sales_Data[[#This Row],[UnitPrice]]</f>
        <v>127.16</v>
      </c>
    </row>
    <row r="145" spans="1:8" x14ac:dyDescent="0.25">
      <c r="A145" s="1">
        <v>43895</v>
      </c>
      <c r="B145" t="s">
        <v>6</v>
      </c>
      <c r="C145" t="s">
        <v>18</v>
      </c>
      <c r="D145" t="s">
        <v>13</v>
      </c>
      <c r="E145" t="s">
        <v>15</v>
      </c>
      <c r="F145">
        <v>97</v>
      </c>
      <c r="G145">
        <v>2.8400000000000003</v>
      </c>
      <c r="H145">
        <f>Sales_Data[[#This Row],[Quantity]]*Sales_Data[[#This Row],[UnitPrice]]</f>
        <v>275.48</v>
      </c>
    </row>
    <row r="146" spans="1:8" x14ac:dyDescent="0.25">
      <c r="A146" s="1">
        <v>43898</v>
      </c>
      <c r="B146" t="s">
        <v>19</v>
      </c>
      <c r="C146" t="s">
        <v>21</v>
      </c>
      <c r="D146" t="s">
        <v>9</v>
      </c>
      <c r="E146" t="s">
        <v>11</v>
      </c>
      <c r="F146">
        <v>86</v>
      </c>
      <c r="G146">
        <v>1.8699999999999999</v>
      </c>
      <c r="H146">
        <f>Sales_Data[[#This Row],[Quantity]]*Sales_Data[[#This Row],[UnitPrice]]</f>
        <v>160.82</v>
      </c>
    </row>
    <row r="147" spans="1:8" x14ac:dyDescent="0.25">
      <c r="A147" s="1">
        <v>43901</v>
      </c>
      <c r="B147" t="s">
        <v>19</v>
      </c>
      <c r="C147" t="s">
        <v>21</v>
      </c>
      <c r="D147" t="s">
        <v>16</v>
      </c>
      <c r="E147" t="s">
        <v>17</v>
      </c>
      <c r="F147">
        <v>41</v>
      </c>
      <c r="G147">
        <v>1.68</v>
      </c>
      <c r="H147">
        <f>Sales_Data[[#This Row],[Quantity]]*Sales_Data[[#This Row],[UnitPrice]]</f>
        <v>68.88</v>
      </c>
    </row>
    <row r="148" spans="1:8" x14ac:dyDescent="0.25">
      <c r="A148" s="1">
        <v>43904</v>
      </c>
      <c r="B148" t="s">
        <v>6</v>
      </c>
      <c r="C148" t="s">
        <v>7</v>
      </c>
      <c r="D148" t="s">
        <v>9</v>
      </c>
      <c r="E148" t="s">
        <v>12</v>
      </c>
      <c r="F148">
        <v>93</v>
      </c>
      <c r="G148">
        <v>1.7700000000000002</v>
      </c>
      <c r="H148">
        <f>Sales_Data[[#This Row],[Quantity]]*Sales_Data[[#This Row],[UnitPrice]]</f>
        <v>164.61</v>
      </c>
    </row>
    <row r="149" spans="1:8" x14ac:dyDescent="0.25">
      <c r="A149" s="1">
        <v>43907</v>
      </c>
      <c r="B149" t="s">
        <v>6</v>
      </c>
      <c r="C149" t="s">
        <v>7</v>
      </c>
      <c r="D149" t="s">
        <v>16</v>
      </c>
      <c r="E149" t="s">
        <v>17</v>
      </c>
      <c r="F149">
        <v>47</v>
      </c>
      <c r="G149">
        <v>1.68</v>
      </c>
      <c r="H149">
        <f>Sales_Data[[#This Row],[Quantity]]*Sales_Data[[#This Row],[UnitPrice]]</f>
        <v>78.959999999999994</v>
      </c>
    </row>
    <row r="150" spans="1:8" x14ac:dyDescent="0.25">
      <c r="A150" s="1">
        <v>43910</v>
      </c>
      <c r="B150" t="s">
        <v>19</v>
      </c>
      <c r="C150" t="s">
        <v>20</v>
      </c>
      <c r="D150" t="s">
        <v>9</v>
      </c>
      <c r="E150" t="s">
        <v>12</v>
      </c>
      <c r="F150">
        <v>103</v>
      </c>
      <c r="G150">
        <v>1.77</v>
      </c>
      <c r="H150">
        <f>Sales_Data[[#This Row],[Quantity]]*Sales_Data[[#This Row],[UnitPrice]]</f>
        <v>182.31</v>
      </c>
    </row>
    <row r="151" spans="1:8" x14ac:dyDescent="0.25">
      <c r="A151" s="1">
        <v>43913</v>
      </c>
      <c r="B151" t="s">
        <v>19</v>
      </c>
      <c r="C151" t="s">
        <v>20</v>
      </c>
      <c r="D151" t="s">
        <v>16</v>
      </c>
      <c r="E151" t="s">
        <v>17</v>
      </c>
      <c r="F151">
        <v>33</v>
      </c>
      <c r="G151">
        <v>1.68</v>
      </c>
      <c r="H151">
        <f>Sales_Data[[#This Row],[Quantity]]*Sales_Data[[#This Row],[UnitPrice]]</f>
        <v>55.44</v>
      </c>
    </row>
    <row r="152" spans="1:8" x14ac:dyDescent="0.25">
      <c r="A152" s="1">
        <v>43916</v>
      </c>
      <c r="B152" t="s">
        <v>6</v>
      </c>
      <c r="C152" t="s">
        <v>18</v>
      </c>
      <c r="D152" t="s">
        <v>9</v>
      </c>
      <c r="E152" t="s">
        <v>11</v>
      </c>
      <c r="F152">
        <v>57</v>
      </c>
      <c r="G152">
        <v>1.87</v>
      </c>
      <c r="H152">
        <f>Sales_Data[[#This Row],[Quantity]]*Sales_Data[[#This Row],[UnitPrice]]</f>
        <v>106.59</v>
      </c>
    </row>
    <row r="153" spans="1:8" x14ac:dyDescent="0.25">
      <c r="A153" s="1">
        <v>43919</v>
      </c>
      <c r="B153" t="s">
        <v>6</v>
      </c>
      <c r="C153" t="s">
        <v>18</v>
      </c>
      <c r="D153" t="s">
        <v>13</v>
      </c>
      <c r="E153" t="s">
        <v>15</v>
      </c>
      <c r="F153">
        <v>65</v>
      </c>
      <c r="G153">
        <v>2.84</v>
      </c>
      <c r="H153">
        <f>Sales_Data[[#This Row],[Quantity]]*Sales_Data[[#This Row],[UnitPrice]]</f>
        <v>184.6</v>
      </c>
    </row>
    <row r="154" spans="1:8" x14ac:dyDescent="0.25">
      <c r="A154" s="1">
        <v>43922</v>
      </c>
      <c r="B154" t="s">
        <v>19</v>
      </c>
      <c r="C154" t="s">
        <v>21</v>
      </c>
      <c r="D154" t="s">
        <v>9</v>
      </c>
      <c r="E154" t="s">
        <v>12</v>
      </c>
      <c r="F154">
        <v>118</v>
      </c>
      <c r="G154">
        <v>1.77</v>
      </c>
      <c r="H154">
        <f>Sales_Data[[#This Row],[Quantity]]*Sales_Data[[#This Row],[UnitPrice]]</f>
        <v>208.86</v>
      </c>
    </row>
    <row r="155" spans="1:8" x14ac:dyDescent="0.25">
      <c r="A155" s="1">
        <v>43925</v>
      </c>
      <c r="B155" t="s">
        <v>6</v>
      </c>
      <c r="C155" t="s">
        <v>7</v>
      </c>
      <c r="D155" t="s">
        <v>13</v>
      </c>
      <c r="E155" t="s">
        <v>8</v>
      </c>
      <c r="F155">
        <v>36</v>
      </c>
      <c r="G155">
        <v>2.1800000000000002</v>
      </c>
      <c r="H155">
        <f>Sales_Data[[#This Row],[Quantity]]*Sales_Data[[#This Row],[UnitPrice]]</f>
        <v>78.48</v>
      </c>
    </row>
    <row r="156" spans="1:8" x14ac:dyDescent="0.25">
      <c r="A156" s="1">
        <v>43928</v>
      </c>
      <c r="B156" t="s">
        <v>6</v>
      </c>
      <c r="C156" t="s">
        <v>7</v>
      </c>
      <c r="D156" t="s">
        <v>13</v>
      </c>
      <c r="E156" t="s">
        <v>15</v>
      </c>
      <c r="F156">
        <v>123</v>
      </c>
      <c r="G156">
        <v>2.84</v>
      </c>
      <c r="H156">
        <f>Sales_Data[[#This Row],[Quantity]]*Sales_Data[[#This Row],[UnitPrice]]</f>
        <v>349.32</v>
      </c>
    </row>
    <row r="157" spans="1:8" x14ac:dyDescent="0.25">
      <c r="A157" s="1">
        <v>43931</v>
      </c>
      <c r="B157" t="s">
        <v>19</v>
      </c>
      <c r="C157" t="s">
        <v>20</v>
      </c>
      <c r="D157" t="s">
        <v>9</v>
      </c>
      <c r="E157" t="s">
        <v>12</v>
      </c>
      <c r="F157">
        <v>90</v>
      </c>
      <c r="G157">
        <v>1.77</v>
      </c>
      <c r="H157">
        <f>Sales_Data[[#This Row],[Quantity]]*Sales_Data[[#This Row],[UnitPrice]]</f>
        <v>159.30000000000001</v>
      </c>
    </row>
    <row r="158" spans="1:8" x14ac:dyDescent="0.25">
      <c r="A158" s="1">
        <v>43934</v>
      </c>
      <c r="B158" t="s">
        <v>19</v>
      </c>
      <c r="C158" t="s">
        <v>20</v>
      </c>
      <c r="D158" t="s">
        <v>22</v>
      </c>
      <c r="E158" t="s">
        <v>23</v>
      </c>
      <c r="F158">
        <v>21</v>
      </c>
      <c r="G158">
        <v>3.49</v>
      </c>
      <c r="H158">
        <f>Sales_Data[[#This Row],[Quantity]]*Sales_Data[[#This Row],[UnitPrice]]</f>
        <v>73.290000000000006</v>
      </c>
    </row>
    <row r="159" spans="1:8" x14ac:dyDescent="0.25">
      <c r="A159" s="1">
        <v>43937</v>
      </c>
      <c r="B159" t="s">
        <v>6</v>
      </c>
      <c r="C159" t="s">
        <v>18</v>
      </c>
      <c r="D159" t="s">
        <v>9</v>
      </c>
      <c r="E159" t="s">
        <v>12</v>
      </c>
      <c r="F159">
        <v>48</v>
      </c>
      <c r="G159">
        <v>1.7699999999999998</v>
      </c>
      <c r="H159">
        <f>Sales_Data[[#This Row],[Quantity]]*Sales_Data[[#This Row],[UnitPrice]]</f>
        <v>84.96</v>
      </c>
    </row>
    <row r="160" spans="1:8" x14ac:dyDescent="0.25">
      <c r="A160" s="1">
        <v>43940</v>
      </c>
      <c r="B160" t="s">
        <v>6</v>
      </c>
      <c r="C160" t="s">
        <v>18</v>
      </c>
      <c r="D160" t="s">
        <v>16</v>
      </c>
      <c r="E160" t="s">
        <v>17</v>
      </c>
      <c r="F160">
        <v>24</v>
      </c>
      <c r="G160">
        <v>1.68</v>
      </c>
      <c r="H160">
        <f>Sales_Data[[#This Row],[Quantity]]*Sales_Data[[#This Row],[UnitPrice]]</f>
        <v>40.32</v>
      </c>
    </row>
    <row r="161" spans="1:8" x14ac:dyDescent="0.25">
      <c r="A161" s="1">
        <v>43943</v>
      </c>
      <c r="B161" t="s">
        <v>19</v>
      </c>
      <c r="C161" t="s">
        <v>21</v>
      </c>
      <c r="D161" t="s">
        <v>13</v>
      </c>
      <c r="E161" t="s">
        <v>14</v>
      </c>
      <c r="F161">
        <v>67</v>
      </c>
      <c r="G161">
        <v>1.87</v>
      </c>
      <c r="H161">
        <f>Sales_Data[[#This Row],[Quantity]]*Sales_Data[[#This Row],[UnitPrice]]</f>
        <v>125.29</v>
      </c>
    </row>
    <row r="162" spans="1:8" x14ac:dyDescent="0.25">
      <c r="A162" s="1">
        <v>43946</v>
      </c>
      <c r="B162" t="s">
        <v>6</v>
      </c>
      <c r="C162" t="s">
        <v>7</v>
      </c>
      <c r="D162" t="s">
        <v>9</v>
      </c>
      <c r="E162" t="s">
        <v>11</v>
      </c>
      <c r="F162">
        <v>27</v>
      </c>
      <c r="G162">
        <v>1.87</v>
      </c>
      <c r="H162">
        <f>Sales_Data[[#This Row],[Quantity]]*Sales_Data[[#This Row],[UnitPrice]]</f>
        <v>50.49</v>
      </c>
    </row>
    <row r="163" spans="1:8" x14ac:dyDescent="0.25">
      <c r="A163" s="1">
        <v>43949</v>
      </c>
      <c r="B163" t="s">
        <v>6</v>
      </c>
      <c r="C163" t="s">
        <v>7</v>
      </c>
      <c r="D163" t="s">
        <v>13</v>
      </c>
      <c r="E163" t="s">
        <v>15</v>
      </c>
      <c r="F163">
        <v>129</v>
      </c>
      <c r="G163">
        <v>2.8400000000000003</v>
      </c>
      <c r="H163">
        <f>Sales_Data[[#This Row],[Quantity]]*Sales_Data[[#This Row],[UnitPrice]]</f>
        <v>366.36</v>
      </c>
    </row>
    <row r="164" spans="1:8" x14ac:dyDescent="0.25">
      <c r="A164" s="1">
        <v>43952</v>
      </c>
      <c r="B164" t="s">
        <v>19</v>
      </c>
      <c r="C164" t="s">
        <v>20</v>
      </c>
      <c r="D164" t="s">
        <v>13</v>
      </c>
      <c r="E164" t="s">
        <v>8</v>
      </c>
      <c r="F164">
        <v>77</v>
      </c>
      <c r="G164">
        <v>2.1800000000000002</v>
      </c>
      <c r="H164">
        <f>Sales_Data[[#This Row],[Quantity]]*Sales_Data[[#This Row],[UnitPrice]]</f>
        <v>167.86</v>
      </c>
    </row>
    <row r="165" spans="1:8" x14ac:dyDescent="0.25">
      <c r="A165" s="1">
        <v>43955</v>
      </c>
      <c r="B165" t="s">
        <v>19</v>
      </c>
      <c r="C165" t="s">
        <v>20</v>
      </c>
      <c r="D165" t="s">
        <v>13</v>
      </c>
      <c r="E165" t="s">
        <v>14</v>
      </c>
      <c r="F165">
        <v>58</v>
      </c>
      <c r="G165">
        <v>1.8699999999999999</v>
      </c>
      <c r="H165">
        <f>Sales_Data[[#This Row],[Quantity]]*Sales_Data[[#This Row],[UnitPrice]]</f>
        <v>108.46</v>
      </c>
    </row>
    <row r="166" spans="1:8" x14ac:dyDescent="0.25">
      <c r="A166" s="1">
        <v>43958</v>
      </c>
      <c r="B166" t="s">
        <v>6</v>
      </c>
      <c r="C166" t="s">
        <v>18</v>
      </c>
      <c r="D166" t="s">
        <v>9</v>
      </c>
      <c r="E166" t="s">
        <v>11</v>
      </c>
      <c r="F166">
        <v>47</v>
      </c>
      <c r="G166">
        <v>1.87</v>
      </c>
      <c r="H166">
        <f>Sales_Data[[#This Row],[Quantity]]*Sales_Data[[#This Row],[UnitPrice]]</f>
        <v>87.89</v>
      </c>
    </row>
    <row r="167" spans="1:8" x14ac:dyDescent="0.25">
      <c r="A167" s="1">
        <v>43961</v>
      </c>
      <c r="B167" t="s">
        <v>6</v>
      </c>
      <c r="C167" t="s">
        <v>18</v>
      </c>
      <c r="D167" t="s">
        <v>13</v>
      </c>
      <c r="E167" t="s">
        <v>15</v>
      </c>
      <c r="F167">
        <v>33</v>
      </c>
      <c r="G167">
        <v>2.84</v>
      </c>
      <c r="H167">
        <f>Sales_Data[[#This Row],[Quantity]]*Sales_Data[[#This Row],[UnitPrice]]</f>
        <v>93.72</v>
      </c>
    </row>
    <row r="168" spans="1:8" x14ac:dyDescent="0.25">
      <c r="A168" s="1">
        <v>43964</v>
      </c>
      <c r="B168" t="s">
        <v>19</v>
      </c>
      <c r="C168" t="s">
        <v>21</v>
      </c>
      <c r="D168" t="s">
        <v>13</v>
      </c>
      <c r="E168" t="s">
        <v>14</v>
      </c>
      <c r="F168">
        <v>82</v>
      </c>
      <c r="G168">
        <v>1.87</v>
      </c>
      <c r="H168">
        <f>Sales_Data[[#This Row],[Quantity]]*Sales_Data[[#This Row],[UnitPrice]]</f>
        <v>153.34</v>
      </c>
    </row>
    <row r="169" spans="1:8" x14ac:dyDescent="0.25">
      <c r="A169" s="1">
        <v>43967</v>
      </c>
      <c r="B169" t="s">
        <v>6</v>
      </c>
      <c r="C169" t="s">
        <v>7</v>
      </c>
      <c r="D169" t="s">
        <v>9</v>
      </c>
      <c r="E169" t="s">
        <v>12</v>
      </c>
      <c r="F169">
        <v>58</v>
      </c>
      <c r="G169">
        <v>1.77</v>
      </c>
      <c r="H169">
        <f>Sales_Data[[#This Row],[Quantity]]*Sales_Data[[#This Row],[UnitPrice]]</f>
        <v>102.66</v>
      </c>
    </row>
    <row r="170" spans="1:8" x14ac:dyDescent="0.25">
      <c r="A170" s="1">
        <v>43970</v>
      </c>
      <c r="B170" t="s">
        <v>6</v>
      </c>
      <c r="C170" t="s">
        <v>7</v>
      </c>
      <c r="D170" t="s">
        <v>16</v>
      </c>
      <c r="E170" t="s">
        <v>24</v>
      </c>
      <c r="F170">
        <v>30</v>
      </c>
      <c r="G170">
        <v>3.15</v>
      </c>
      <c r="H170">
        <f>Sales_Data[[#This Row],[Quantity]]*Sales_Data[[#This Row],[UnitPrice]]</f>
        <v>94.5</v>
      </c>
    </row>
    <row r="171" spans="1:8" x14ac:dyDescent="0.25">
      <c r="A171" s="1">
        <v>43973</v>
      </c>
      <c r="B171" t="s">
        <v>19</v>
      </c>
      <c r="C171" t="s">
        <v>20</v>
      </c>
      <c r="D171" t="s">
        <v>13</v>
      </c>
      <c r="E171" t="s">
        <v>14</v>
      </c>
      <c r="F171">
        <v>43</v>
      </c>
      <c r="G171">
        <v>1.8699999999999999</v>
      </c>
      <c r="H171">
        <f>Sales_Data[[#This Row],[Quantity]]*Sales_Data[[#This Row],[UnitPrice]]</f>
        <v>80.41</v>
      </c>
    </row>
    <row r="172" spans="1:8" x14ac:dyDescent="0.25">
      <c r="A172" s="1">
        <v>43976</v>
      </c>
      <c r="B172" t="s">
        <v>6</v>
      </c>
      <c r="C172" t="s">
        <v>18</v>
      </c>
      <c r="D172" t="s">
        <v>9</v>
      </c>
      <c r="E172" t="s">
        <v>12</v>
      </c>
      <c r="F172">
        <v>84</v>
      </c>
      <c r="G172">
        <v>1.77</v>
      </c>
      <c r="H172">
        <f>Sales_Data[[#This Row],[Quantity]]*Sales_Data[[#This Row],[UnitPrice]]</f>
        <v>148.68</v>
      </c>
    </row>
    <row r="173" spans="1:8" x14ac:dyDescent="0.25">
      <c r="A173" s="1">
        <v>43979</v>
      </c>
      <c r="B173" t="s">
        <v>19</v>
      </c>
      <c r="C173" t="s">
        <v>21</v>
      </c>
      <c r="D173" t="s">
        <v>13</v>
      </c>
      <c r="E173" t="s">
        <v>8</v>
      </c>
      <c r="F173">
        <v>36</v>
      </c>
      <c r="G173">
        <v>2.1800000000000002</v>
      </c>
      <c r="H173">
        <f>Sales_Data[[#This Row],[Quantity]]*Sales_Data[[#This Row],[UnitPrice]]</f>
        <v>78.48</v>
      </c>
    </row>
    <row r="174" spans="1:8" x14ac:dyDescent="0.25">
      <c r="A174" s="1">
        <v>43982</v>
      </c>
      <c r="B174" t="s">
        <v>19</v>
      </c>
      <c r="C174" t="s">
        <v>21</v>
      </c>
      <c r="D174" t="s">
        <v>13</v>
      </c>
      <c r="E174" t="s">
        <v>15</v>
      </c>
      <c r="F174">
        <v>44</v>
      </c>
      <c r="G174">
        <v>2.84</v>
      </c>
      <c r="H174">
        <f>Sales_Data[[#This Row],[Quantity]]*Sales_Data[[#This Row],[UnitPrice]]</f>
        <v>124.96</v>
      </c>
    </row>
    <row r="175" spans="1:8" x14ac:dyDescent="0.25">
      <c r="A175" s="1">
        <v>43985</v>
      </c>
      <c r="B175" t="s">
        <v>6</v>
      </c>
      <c r="C175" t="s">
        <v>7</v>
      </c>
      <c r="D175" t="s">
        <v>9</v>
      </c>
      <c r="E175" t="s">
        <v>11</v>
      </c>
      <c r="F175">
        <v>27</v>
      </c>
      <c r="G175">
        <v>1.87</v>
      </c>
      <c r="H175">
        <f>Sales_Data[[#This Row],[Quantity]]*Sales_Data[[#This Row],[UnitPrice]]</f>
        <v>50.49</v>
      </c>
    </row>
    <row r="176" spans="1:8" x14ac:dyDescent="0.25">
      <c r="A176" s="1">
        <v>43988</v>
      </c>
      <c r="B176" t="s">
        <v>6</v>
      </c>
      <c r="C176" t="s">
        <v>7</v>
      </c>
      <c r="D176" t="s">
        <v>13</v>
      </c>
      <c r="E176" t="s">
        <v>15</v>
      </c>
      <c r="F176">
        <v>120</v>
      </c>
      <c r="G176">
        <v>2.8400000000000003</v>
      </c>
      <c r="H176">
        <f>Sales_Data[[#This Row],[Quantity]]*Sales_Data[[#This Row],[UnitPrice]]</f>
        <v>340.8</v>
      </c>
    </row>
    <row r="177" spans="1:8" x14ac:dyDescent="0.25">
      <c r="A177" s="1">
        <v>43991</v>
      </c>
      <c r="B177" t="s">
        <v>6</v>
      </c>
      <c r="C177" t="s">
        <v>7</v>
      </c>
      <c r="D177" t="s">
        <v>22</v>
      </c>
      <c r="E177" t="s">
        <v>23</v>
      </c>
      <c r="F177">
        <v>26</v>
      </c>
      <c r="G177">
        <v>3.4899999999999998</v>
      </c>
      <c r="H177">
        <f>Sales_Data[[#This Row],[Quantity]]*Sales_Data[[#This Row],[UnitPrice]]</f>
        <v>90.74</v>
      </c>
    </row>
    <row r="178" spans="1:8" x14ac:dyDescent="0.25">
      <c r="A178" s="1">
        <v>43994</v>
      </c>
      <c r="B178" t="s">
        <v>19</v>
      </c>
      <c r="C178" t="s">
        <v>20</v>
      </c>
      <c r="D178" t="s">
        <v>9</v>
      </c>
      <c r="E178" t="s">
        <v>12</v>
      </c>
      <c r="F178">
        <v>73</v>
      </c>
      <c r="G178">
        <v>1.77</v>
      </c>
      <c r="H178">
        <f>Sales_Data[[#This Row],[Quantity]]*Sales_Data[[#This Row],[UnitPrice]]</f>
        <v>129.21</v>
      </c>
    </row>
    <row r="179" spans="1:8" x14ac:dyDescent="0.25">
      <c r="A179" s="1">
        <v>43997</v>
      </c>
      <c r="B179" t="s">
        <v>6</v>
      </c>
      <c r="C179" t="s">
        <v>18</v>
      </c>
      <c r="D179" t="s">
        <v>9</v>
      </c>
      <c r="E179" t="s">
        <v>11</v>
      </c>
      <c r="F179">
        <v>38</v>
      </c>
      <c r="G179">
        <v>1.87</v>
      </c>
      <c r="H179">
        <f>Sales_Data[[#This Row],[Quantity]]*Sales_Data[[#This Row],[UnitPrice]]</f>
        <v>71.06</v>
      </c>
    </row>
    <row r="180" spans="1:8" x14ac:dyDescent="0.25">
      <c r="A180" s="1">
        <v>44000</v>
      </c>
      <c r="B180" t="s">
        <v>6</v>
      </c>
      <c r="C180" t="s">
        <v>18</v>
      </c>
      <c r="D180" t="s">
        <v>13</v>
      </c>
      <c r="E180" t="s">
        <v>15</v>
      </c>
      <c r="F180">
        <v>40</v>
      </c>
      <c r="G180">
        <v>2.84</v>
      </c>
      <c r="H180">
        <f>Sales_Data[[#This Row],[Quantity]]*Sales_Data[[#This Row],[UnitPrice]]</f>
        <v>113.6</v>
      </c>
    </row>
    <row r="181" spans="1:8" x14ac:dyDescent="0.25">
      <c r="A181" s="1">
        <v>44003</v>
      </c>
      <c r="B181" t="s">
        <v>19</v>
      </c>
      <c r="C181" t="s">
        <v>21</v>
      </c>
      <c r="D181" t="s">
        <v>9</v>
      </c>
      <c r="E181" t="s">
        <v>12</v>
      </c>
      <c r="F181">
        <v>41</v>
      </c>
      <c r="G181">
        <v>1.7699999999999998</v>
      </c>
      <c r="H181">
        <f>Sales_Data[[#This Row],[Quantity]]*Sales_Data[[#This Row],[UnitPrice]]</f>
        <v>72.569999999999993</v>
      </c>
    </row>
    <row r="182" spans="1:8" x14ac:dyDescent="0.25">
      <c r="A182" s="1">
        <v>44006</v>
      </c>
      <c r="B182" t="s">
        <v>6</v>
      </c>
      <c r="C182" t="s">
        <v>7</v>
      </c>
      <c r="D182" t="s">
        <v>9</v>
      </c>
      <c r="E182" t="s">
        <v>10</v>
      </c>
      <c r="F182">
        <v>27</v>
      </c>
      <c r="G182">
        <v>2.27</v>
      </c>
      <c r="H182">
        <f>Sales_Data[[#This Row],[Quantity]]*Sales_Data[[#This Row],[UnitPrice]]</f>
        <v>61.29</v>
      </c>
    </row>
    <row r="183" spans="1:8" x14ac:dyDescent="0.25">
      <c r="A183" s="1">
        <v>44009</v>
      </c>
      <c r="B183" t="s">
        <v>6</v>
      </c>
      <c r="C183" t="s">
        <v>7</v>
      </c>
      <c r="D183" t="s">
        <v>13</v>
      </c>
      <c r="E183" t="s">
        <v>14</v>
      </c>
      <c r="F183">
        <v>38</v>
      </c>
      <c r="G183">
        <v>1.87</v>
      </c>
      <c r="H183">
        <f>Sales_Data[[#This Row],[Quantity]]*Sales_Data[[#This Row],[UnitPrice]]</f>
        <v>71.06</v>
      </c>
    </row>
    <row r="184" spans="1:8" x14ac:dyDescent="0.25">
      <c r="A184" s="1">
        <v>44012</v>
      </c>
      <c r="B184" t="s">
        <v>6</v>
      </c>
      <c r="C184" t="s">
        <v>7</v>
      </c>
      <c r="D184" t="s">
        <v>22</v>
      </c>
      <c r="E184" t="s">
        <v>23</v>
      </c>
      <c r="F184">
        <v>34</v>
      </c>
      <c r="G184">
        <v>3.4899999999999998</v>
      </c>
      <c r="H184">
        <f>Sales_Data[[#This Row],[Quantity]]*Sales_Data[[#This Row],[UnitPrice]]</f>
        <v>118.66</v>
      </c>
    </row>
    <row r="185" spans="1:8" x14ac:dyDescent="0.25">
      <c r="A185" s="1">
        <v>44015</v>
      </c>
      <c r="B185" t="s">
        <v>19</v>
      </c>
      <c r="C185" t="s">
        <v>20</v>
      </c>
      <c r="D185" t="s">
        <v>9</v>
      </c>
      <c r="E185" t="s">
        <v>11</v>
      </c>
      <c r="F185">
        <v>65</v>
      </c>
      <c r="G185">
        <v>1.8699999999999999</v>
      </c>
      <c r="H185">
        <f>Sales_Data[[#This Row],[Quantity]]*Sales_Data[[#This Row],[UnitPrice]]</f>
        <v>121.55</v>
      </c>
    </row>
    <row r="186" spans="1:8" x14ac:dyDescent="0.25">
      <c r="A186" s="1">
        <v>44018</v>
      </c>
      <c r="B186" t="s">
        <v>19</v>
      </c>
      <c r="C186" t="s">
        <v>20</v>
      </c>
      <c r="D186" t="s">
        <v>13</v>
      </c>
      <c r="E186" t="s">
        <v>15</v>
      </c>
      <c r="F186">
        <v>60</v>
      </c>
      <c r="G186">
        <v>2.8400000000000003</v>
      </c>
      <c r="H186">
        <f>Sales_Data[[#This Row],[Quantity]]*Sales_Data[[#This Row],[UnitPrice]]</f>
        <v>170.4</v>
      </c>
    </row>
    <row r="187" spans="1:8" x14ac:dyDescent="0.25">
      <c r="A187" s="1">
        <v>44021</v>
      </c>
      <c r="B187" t="s">
        <v>6</v>
      </c>
      <c r="C187" t="s">
        <v>18</v>
      </c>
      <c r="D187" t="s">
        <v>13</v>
      </c>
      <c r="E187" t="s">
        <v>8</v>
      </c>
      <c r="F187">
        <v>37</v>
      </c>
      <c r="G187">
        <v>2.1799999999999997</v>
      </c>
      <c r="H187">
        <f>Sales_Data[[#This Row],[Quantity]]*Sales_Data[[#This Row],[UnitPrice]]</f>
        <v>80.66</v>
      </c>
    </row>
    <row r="188" spans="1:8" x14ac:dyDescent="0.25">
      <c r="A188" s="1">
        <v>44024</v>
      </c>
      <c r="B188" t="s">
        <v>6</v>
      </c>
      <c r="C188" t="s">
        <v>18</v>
      </c>
      <c r="D188" t="s">
        <v>13</v>
      </c>
      <c r="E188" t="s">
        <v>14</v>
      </c>
      <c r="F188">
        <v>40</v>
      </c>
      <c r="G188">
        <v>1.8699999999999999</v>
      </c>
      <c r="H188">
        <f>Sales_Data[[#This Row],[Quantity]]*Sales_Data[[#This Row],[UnitPrice]]</f>
        <v>74.8</v>
      </c>
    </row>
    <row r="189" spans="1:8" x14ac:dyDescent="0.25">
      <c r="A189" s="1">
        <v>44027</v>
      </c>
      <c r="B189" t="s">
        <v>19</v>
      </c>
      <c r="C189" t="s">
        <v>21</v>
      </c>
      <c r="D189" t="s">
        <v>9</v>
      </c>
      <c r="E189" t="s">
        <v>11</v>
      </c>
      <c r="F189">
        <v>26</v>
      </c>
      <c r="G189">
        <v>1.8699999999999999</v>
      </c>
      <c r="H189">
        <f>Sales_Data[[#This Row],[Quantity]]*Sales_Data[[#This Row],[UnitPrice]]</f>
        <v>48.62</v>
      </c>
    </row>
    <row r="190" spans="1:8" x14ac:dyDescent="0.25">
      <c r="A190" s="1">
        <v>44030</v>
      </c>
      <c r="B190" t="s">
        <v>6</v>
      </c>
      <c r="C190" t="s">
        <v>7</v>
      </c>
      <c r="D190" t="s">
        <v>9</v>
      </c>
      <c r="E190" t="s">
        <v>10</v>
      </c>
      <c r="F190">
        <v>22</v>
      </c>
      <c r="G190">
        <v>2.27</v>
      </c>
      <c r="H190">
        <f>Sales_Data[[#This Row],[Quantity]]*Sales_Data[[#This Row],[UnitPrice]]</f>
        <v>49.94</v>
      </c>
    </row>
    <row r="191" spans="1:8" x14ac:dyDescent="0.25">
      <c r="A191" s="1">
        <v>44033</v>
      </c>
      <c r="B191" t="s">
        <v>6</v>
      </c>
      <c r="C191" t="s">
        <v>7</v>
      </c>
      <c r="D191" t="s">
        <v>13</v>
      </c>
      <c r="E191" t="s">
        <v>14</v>
      </c>
      <c r="F191">
        <v>32</v>
      </c>
      <c r="G191">
        <v>1.87</v>
      </c>
      <c r="H191">
        <f>Sales_Data[[#This Row],[Quantity]]*Sales_Data[[#This Row],[UnitPrice]]</f>
        <v>59.84</v>
      </c>
    </row>
    <row r="192" spans="1:8" x14ac:dyDescent="0.25">
      <c r="A192" s="1">
        <v>44036</v>
      </c>
      <c r="B192" t="s">
        <v>6</v>
      </c>
      <c r="C192" t="s">
        <v>7</v>
      </c>
      <c r="D192" t="s">
        <v>22</v>
      </c>
      <c r="E192" t="s">
        <v>23</v>
      </c>
      <c r="F192">
        <v>23</v>
      </c>
      <c r="G192">
        <v>3.4899999999999998</v>
      </c>
      <c r="H192">
        <f>Sales_Data[[#This Row],[Quantity]]*Sales_Data[[#This Row],[UnitPrice]]</f>
        <v>80.27</v>
      </c>
    </row>
    <row r="193" spans="1:8" x14ac:dyDescent="0.25">
      <c r="A193" s="1">
        <v>44039</v>
      </c>
      <c r="B193" t="s">
        <v>19</v>
      </c>
      <c r="C193" t="s">
        <v>20</v>
      </c>
      <c r="D193" t="s">
        <v>13</v>
      </c>
      <c r="E193" t="s">
        <v>8</v>
      </c>
      <c r="F193">
        <v>20</v>
      </c>
      <c r="G193">
        <v>2.1800000000000002</v>
      </c>
      <c r="H193">
        <f>Sales_Data[[#This Row],[Quantity]]*Sales_Data[[#This Row],[UnitPrice]]</f>
        <v>43.6</v>
      </c>
    </row>
    <row r="194" spans="1:8" x14ac:dyDescent="0.25">
      <c r="A194" s="1">
        <v>44042</v>
      </c>
      <c r="B194" t="s">
        <v>19</v>
      </c>
      <c r="C194" t="s">
        <v>20</v>
      </c>
      <c r="D194" t="s">
        <v>13</v>
      </c>
      <c r="E194" t="s">
        <v>14</v>
      </c>
      <c r="F194">
        <v>64</v>
      </c>
      <c r="G194">
        <v>1.87</v>
      </c>
      <c r="H194">
        <f>Sales_Data[[#This Row],[Quantity]]*Sales_Data[[#This Row],[UnitPrice]]</f>
        <v>119.68</v>
      </c>
    </row>
    <row r="195" spans="1:8" x14ac:dyDescent="0.25">
      <c r="A195" s="1">
        <v>44045</v>
      </c>
      <c r="B195" t="s">
        <v>6</v>
      </c>
      <c r="C195" t="s">
        <v>18</v>
      </c>
      <c r="D195" t="s">
        <v>9</v>
      </c>
      <c r="E195" t="s">
        <v>12</v>
      </c>
      <c r="F195">
        <v>71</v>
      </c>
      <c r="G195">
        <v>1.77</v>
      </c>
      <c r="H195">
        <f>Sales_Data[[#This Row],[Quantity]]*Sales_Data[[#This Row],[UnitPrice]]</f>
        <v>125.67</v>
      </c>
    </row>
    <row r="196" spans="1:8" x14ac:dyDescent="0.25">
      <c r="A196" s="1">
        <v>44048</v>
      </c>
      <c r="B196" t="s">
        <v>19</v>
      </c>
      <c r="C196" t="s">
        <v>21</v>
      </c>
      <c r="D196" t="s">
        <v>13</v>
      </c>
      <c r="E196" t="s">
        <v>8</v>
      </c>
      <c r="F196">
        <v>90</v>
      </c>
      <c r="G196">
        <v>2.1799999999999997</v>
      </c>
      <c r="H196">
        <f>Sales_Data[[#This Row],[Quantity]]*Sales_Data[[#This Row],[UnitPrice]]</f>
        <v>196.2</v>
      </c>
    </row>
    <row r="197" spans="1:8" x14ac:dyDescent="0.25">
      <c r="A197" s="1">
        <v>44051</v>
      </c>
      <c r="B197" t="s">
        <v>19</v>
      </c>
      <c r="C197" t="s">
        <v>21</v>
      </c>
      <c r="D197" t="s">
        <v>13</v>
      </c>
      <c r="E197" t="s">
        <v>15</v>
      </c>
      <c r="F197">
        <v>38</v>
      </c>
      <c r="G197">
        <v>2.84</v>
      </c>
      <c r="H197">
        <f>Sales_Data[[#This Row],[Quantity]]*Sales_Data[[#This Row],[UnitPrice]]</f>
        <v>107.91999999999999</v>
      </c>
    </row>
    <row r="198" spans="1:8" x14ac:dyDescent="0.25">
      <c r="A198" s="1">
        <v>44054</v>
      </c>
      <c r="B198" t="s">
        <v>6</v>
      </c>
      <c r="C198" t="s">
        <v>7</v>
      </c>
      <c r="D198" t="s">
        <v>9</v>
      </c>
      <c r="E198" t="s">
        <v>12</v>
      </c>
      <c r="F198">
        <v>55</v>
      </c>
      <c r="G198">
        <v>1.7699999999999998</v>
      </c>
      <c r="H198">
        <f>Sales_Data[[#This Row],[Quantity]]*Sales_Data[[#This Row],[UnitPrice]]</f>
        <v>97.35</v>
      </c>
    </row>
    <row r="199" spans="1:8" x14ac:dyDescent="0.25">
      <c r="A199" s="1">
        <v>44057</v>
      </c>
      <c r="B199" t="s">
        <v>6</v>
      </c>
      <c r="C199" t="s">
        <v>7</v>
      </c>
      <c r="D199" t="s">
        <v>16</v>
      </c>
      <c r="E199" t="s">
        <v>24</v>
      </c>
      <c r="F199">
        <v>22</v>
      </c>
      <c r="G199">
        <v>3.15</v>
      </c>
      <c r="H199">
        <f>Sales_Data[[#This Row],[Quantity]]*Sales_Data[[#This Row],[UnitPrice]]</f>
        <v>69.3</v>
      </c>
    </row>
    <row r="200" spans="1:8" x14ac:dyDescent="0.25">
      <c r="A200" s="1">
        <v>44060</v>
      </c>
      <c r="B200" t="s">
        <v>19</v>
      </c>
      <c r="C200" t="s">
        <v>20</v>
      </c>
      <c r="D200" t="s">
        <v>9</v>
      </c>
      <c r="E200" t="s">
        <v>12</v>
      </c>
      <c r="F200">
        <v>34</v>
      </c>
      <c r="G200">
        <v>1.77</v>
      </c>
      <c r="H200">
        <f>Sales_Data[[#This Row],[Quantity]]*Sales_Data[[#This Row],[UnitPrice]]</f>
        <v>60.18</v>
      </c>
    </row>
    <row r="201" spans="1:8" x14ac:dyDescent="0.25">
      <c r="A201" s="1">
        <v>44063</v>
      </c>
      <c r="B201" t="s">
        <v>6</v>
      </c>
      <c r="C201" t="s">
        <v>18</v>
      </c>
      <c r="D201" t="s">
        <v>9</v>
      </c>
      <c r="E201" t="s">
        <v>11</v>
      </c>
      <c r="F201">
        <v>39</v>
      </c>
      <c r="G201">
        <v>1.87</v>
      </c>
      <c r="H201">
        <f>Sales_Data[[#This Row],[Quantity]]*Sales_Data[[#This Row],[UnitPrice]]</f>
        <v>72.930000000000007</v>
      </c>
    </row>
    <row r="202" spans="1:8" x14ac:dyDescent="0.25">
      <c r="A202" s="1">
        <v>44066</v>
      </c>
      <c r="B202" t="s">
        <v>6</v>
      </c>
      <c r="C202" t="s">
        <v>18</v>
      </c>
      <c r="D202" t="s">
        <v>13</v>
      </c>
      <c r="E202" t="s">
        <v>15</v>
      </c>
      <c r="F202">
        <v>41</v>
      </c>
      <c r="G202">
        <v>2.84</v>
      </c>
      <c r="H202">
        <f>Sales_Data[[#This Row],[Quantity]]*Sales_Data[[#This Row],[UnitPrice]]</f>
        <v>116.44</v>
      </c>
    </row>
    <row r="203" spans="1:8" x14ac:dyDescent="0.25">
      <c r="A203" s="1">
        <v>44069</v>
      </c>
      <c r="B203" t="s">
        <v>19</v>
      </c>
      <c r="C203" t="s">
        <v>21</v>
      </c>
      <c r="D203" t="s">
        <v>9</v>
      </c>
      <c r="E203" t="s">
        <v>12</v>
      </c>
      <c r="F203">
        <v>41</v>
      </c>
      <c r="G203">
        <v>1.7699999999999998</v>
      </c>
      <c r="H203">
        <f>Sales_Data[[#This Row],[Quantity]]*Sales_Data[[#This Row],[UnitPrice]]</f>
        <v>72.569999999999993</v>
      </c>
    </row>
    <row r="204" spans="1:8" x14ac:dyDescent="0.25">
      <c r="A204" s="1">
        <v>44072</v>
      </c>
      <c r="B204" t="s">
        <v>6</v>
      </c>
      <c r="C204" t="s">
        <v>7</v>
      </c>
      <c r="D204" t="s">
        <v>13</v>
      </c>
      <c r="E204" t="s">
        <v>8</v>
      </c>
      <c r="F204">
        <v>136</v>
      </c>
      <c r="G204">
        <v>2.1800000000000002</v>
      </c>
      <c r="H204">
        <f>Sales_Data[[#This Row],[Quantity]]*Sales_Data[[#This Row],[UnitPrice]]</f>
        <v>296.48</v>
      </c>
    </row>
    <row r="205" spans="1:8" x14ac:dyDescent="0.25">
      <c r="A205" s="1">
        <v>44075</v>
      </c>
      <c r="B205" t="s">
        <v>6</v>
      </c>
      <c r="C205" t="s">
        <v>7</v>
      </c>
      <c r="D205" t="s">
        <v>9</v>
      </c>
      <c r="E205" t="s">
        <v>12</v>
      </c>
      <c r="F205">
        <v>25</v>
      </c>
      <c r="G205">
        <v>1.77</v>
      </c>
      <c r="H205">
        <f>Sales_Data[[#This Row],[Quantity]]*Sales_Data[[#This Row],[UnitPrice]]</f>
        <v>44.25</v>
      </c>
    </row>
    <row r="206" spans="1:8" x14ac:dyDescent="0.25">
      <c r="A206" s="1">
        <v>44078</v>
      </c>
      <c r="B206" t="s">
        <v>6</v>
      </c>
      <c r="C206" t="s">
        <v>7</v>
      </c>
      <c r="D206" t="s">
        <v>16</v>
      </c>
      <c r="E206" t="s">
        <v>24</v>
      </c>
      <c r="F206">
        <v>26</v>
      </c>
      <c r="G206">
        <v>3.1500000000000004</v>
      </c>
      <c r="H206">
        <f>Sales_Data[[#This Row],[Quantity]]*Sales_Data[[#This Row],[UnitPrice]]</f>
        <v>81.900000000000006</v>
      </c>
    </row>
    <row r="207" spans="1:8" x14ac:dyDescent="0.25">
      <c r="A207" s="1">
        <v>44081</v>
      </c>
      <c r="B207" t="s">
        <v>19</v>
      </c>
      <c r="C207" t="s">
        <v>20</v>
      </c>
      <c r="D207" t="s">
        <v>9</v>
      </c>
      <c r="E207" t="s">
        <v>11</v>
      </c>
      <c r="F207">
        <v>50</v>
      </c>
      <c r="G207">
        <v>1.87</v>
      </c>
      <c r="H207">
        <f>Sales_Data[[#This Row],[Quantity]]*Sales_Data[[#This Row],[UnitPrice]]</f>
        <v>93.5</v>
      </c>
    </row>
    <row r="208" spans="1:8" x14ac:dyDescent="0.25">
      <c r="A208" s="1">
        <v>44084</v>
      </c>
      <c r="B208" t="s">
        <v>19</v>
      </c>
      <c r="C208" t="s">
        <v>20</v>
      </c>
      <c r="D208" t="s">
        <v>13</v>
      </c>
      <c r="E208" t="s">
        <v>15</v>
      </c>
      <c r="F208">
        <v>79</v>
      </c>
      <c r="G208">
        <v>2.8400000000000003</v>
      </c>
      <c r="H208">
        <f>Sales_Data[[#This Row],[Quantity]]*Sales_Data[[#This Row],[UnitPrice]]</f>
        <v>224.36</v>
      </c>
    </row>
    <row r="209" spans="1:8" x14ac:dyDescent="0.25">
      <c r="A209" s="1">
        <v>44087</v>
      </c>
      <c r="B209" t="s">
        <v>6</v>
      </c>
      <c r="C209" t="s">
        <v>18</v>
      </c>
      <c r="D209" t="s">
        <v>9</v>
      </c>
      <c r="E209" t="s">
        <v>12</v>
      </c>
      <c r="F209">
        <v>30</v>
      </c>
      <c r="G209">
        <v>1.77</v>
      </c>
      <c r="H209">
        <f>Sales_Data[[#This Row],[Quantity]]*Sales_Data[[#This Row],[UnitPrice]]</f>
        <v>53.1</v>
      </c>
    </row>
    <row r="210" spans="1:8" x14ac:dyDescent="0.25">
      <c r="A210" s="1">
        <v>44090</v>
      </c>
      <c r="B210" t="s">
        <v>6</v>
      </c>
      <c r="C210" t="s">
        <v>18</v>
      </c>
      <c r="D210" t="s">
        <v>16</v>
      </c>
      <c r="E210" t="s">
        <v>17</v>
      </c>
      <c r="F210">
        <v>20</v>
      </c>
      <c r="G210">
        <v>1.6800000000000002</v>
      </c>
      <c r="H210">
        <f>Sales_Data[[#This Row],[Quantity]]*Sales_Data[[#This Row],[UnitPrice]]</f>
        <v>33.6</v>
      </c>
    </row>
    <row r="211" spans="1:8" x14ac:dyDescent="0.25">
      <c r="A211" s="1">
        <v>44093</v>
      </c>
      <c r="B211" t="s">
        <v>19</v>
      </c>
      <c r="C211" t="s">
        <v>21</v>
      </c>
      <c r="D211" t="s">
        <v>9</v>
      </c>
      <c r="E211" t="s">
        <v>12</v>
      </c>
      <c r="F211">
        <v>49</v>
      </c>
      <c r="G211">
        <v>1.77</v>
      </c>
      <c r="H211">
        <f>Sales_Data[[#This Row],[Quantity]]*Sales_Data[[#This Row],[UnitPrice]]</f>
        <v>86.73</v>
      </c>
    </row>
    <row r="212" spans="1:8" x14ac:dyDescent="0.25">
      <c r="A212" s="1">
        <v>44096</v>
      </c>
      <c r="B212" t="s">
        <v>6</v>
      </c>
      <c r="C212" t="s">
        <v>7</v>
      </c>
      <c r="D212" t="s">
        <v>13</v>
      </c>
      <c r="E212" t="s">
        <v>8</v>
      </c>
      <c r="F212">
        <v>40</v>
      </c>
      <c r="G212">
        <v>2.1800000000000002</v>
      </c>
      <c r="H212">
        <f>Sales_Data[[#This Row],[Quantity]]*Sales_Data[[#This Row],[UnitPrice]]</f>
        <v>87.2</v>
      </c>
    </row>
    <row r="213" spans="1:8" x14ac:dyDescent="0.25">
      <c r="A213" s="1">
        <v>44099</v>
      </c>
      <c r="B213" t="s">
        <v>6</v>
      </c>
      <c r="C213" t="s">
        <v>7</v>
      </c>
      <c r="D213" t="s">
        <v>9</v>
      </c>
      <c r="E213" t="s">
        <v>12</v>
      </c>
      <c r="F213">
        <v>31</v>
      </c>
      <c r="G213">
        <v>1.77</v>
      </c>
      <c r="H213">
        <f>Sales_Data[[#This Row],[Quantity]]*Sales_Data[[#This Row],[UnitPrice]]</f>
        <v>54.87</v>
      </c>
    </row>
    <row r="214" spans="1:8" x14ac:dyDescent="0.25">
      <c r="A214" s="1">
        <v>44102</v>
      </c>
      <c r="B214" t="s">
        <v>6</v>
      </c>
      <c r="C214" t="s">
        <v>7</v>
      </c>
      <c r="D214" t="s">
        <v>16</v>
      </c>
      <c r="E214" t="s">
        <v>24</v>
      </c>
      <c r="F214">
        <v>21</v>
      </c>
      <c r="G214">
        <v>3.1500000000000004</v>
      </c>
      <c r="H214">
        <f>Sales_Data[[#This Row],[Quantity]]*Sales_Data[[#This Row],[UnitPrice]]</f>
        <v>66.150000000000006</v>
      </c>
    </row>
    <row r="215" spans="1:8" x14ac:dyDescent="0.25">
      <c r="A215" s="1">
        <v>44105</v>
      </c>
      <c r="B215" t="s">
        <v>19</v>
      </c>
      <c r="C215" t="s">
        <v>20</v>
      </c>
      <c r="D215" t="s">
        <v>9</v>
      </c>
      <c r="E215" t="s">
        <v>11</v>
      </c>
      <c r="F215">
        <v>43</v>
      </c>
      <c r="G215">
        <v>1.8699999999999999</v>
      </c>
      <c r="H215">
        <f>Sales_Data[[#This Row],[Quantity]]*Sales_Data[[#This Row],[UnitPrice]]</f>
        <v>80.41</v>
      </c>
    </row>
    <row r="216" spans="1:8" x14ac:dyDescent="0.25">
      <c r="A216" s="1">
        <v>44108</v>
      </c>
      <c r="B216" t="s">
        <v>19</v>
      </c>
      <c r="C216" t="s">
        <v>20</v>
      </c>
      <c r="D216" t="s">
        <v>13</v>
      </c>
      <c r="E216" t="s">
        <v>15</v>
      </c>
      <c r="F216">
        <v>47</v>
      </c>
      <c r="G216">
        <v>2.84</v>
      </c>
      <c r="H216">
        <f>Sales_Data[[#This Row],[Quantity]]*Sales_Data[[#This Row],[UnitPrice]]</f>
        <v>133.47999999999999</v>
      </c>
    </row>
    <row r="217" spans="1:8" x14ac:dyDescent="0.25">
      <c r="A217" s="1">
        <v>44111</v>
      </c>
      <c r="B217" t="s">
        <v>6</v>
      </c>
      <c r="C217" t="s">
        <v>18</v>
      </c>
      <c r="D217" t="s">
        <v>13</v>
      </c>
      <c r="E217" t="s">
        <v>8</v>
      </c>
      <c r="F217">
        <v>175</v>
      </c>
      <c r="G217">
        <v>2.1800000000000002</v>
      </c>
      <c r="H217">
        <f>Sales_Data[[#This Row],[Quantity]]*Sales_Data[[#This Row],[UnitPrice]]</f>
        <v>381.5</v>
      </c>
    </row>
    <row r="218" spans="1:8" x14ac:dyDescent="0.25">
      <c r="A218" s="1">
        <v>44114</v>
      </c>
      <c r="B218" t="s">
        <v>6</v>
      </c>
      <c r="C218" t="s">
        <v>18</v>
      </c>
      <c r="D218" t="s">
        <v>13</v>
      </c>
      <c r="E218" t="s">
        <v>14</v>
      </c>
      <c r="F218">
        <v>23</v>
      </c>
      <c r="G218">
        <v>1.8699999999999999</v>
      </c>
      <c r="H218">
        <f>Sales_Data[[#This Row],[Quantity]]*Sales_Data[[#This Row],[UnitPrice]]</f>
        <v>43.01</v>
      </c>
    </row>
    <row r="219" spans="1:8" x14ac:dyDescent="0.25">
      <c r="A219" s="1">
        <v>44117</v>
      </c>
      <c r="B219" t="s">
        <v>19</v>
      </c>
      <c r="C219" t="s">
        <v>21</v>
      </c>
      <c r="D219" t="s">
        <v>9</v>
      </c>
      <c r="E219" t="s">
        <v>12</v>
      </c>
      <c r="F219">
        <v>40</v>
      </c>
      <c r="G219">
        <v>1.77</v>
      </c>
      <c r="H219">
        <f>Sales_Data[[#This Row],[Quantity]]*Sales_Data[[#This Row],[UnitPrice]]</f>
        <v>70.8</v>
      </c>
    </row>
    <row r="220" spans="1:8" x14ac:dyDescent="0.25">
      <c r="A220" s="1">
        <v>44120</v>
      </c>
      <c r="B220" t="s">
        <v>6</v>
      </c>
      <c r="C220" t="s">
        <v>7</v>
      </c>
      <c r="D220" t="s">
        <v>13</v>
      </c>
      <c r="E220" t="s">
        <v>8</v>
      </c>
      <c r="F220">
        <v>87</v>
      </c>
      <c r="G220">
        <v>2.1800000000000002</v>
      </c>
      <c r="H220">
        <f>Sales_Data[[#This Row],[Quantity]]*Sales_Data[[#This Row],[UnitPrice]]</f>
        <v>189.66000000000003</v>
      </c>
    </row>
    <row r="221" spans="1:8" x14ac:dyDescent="0.25">
      <c r="A221" s="1">
        <v>44123</v>
      </c>
      <c r="B221" t="s">
        <v>6</v>
      </c>
      <c r="C221" t="s">
        <v>7</v>
      </c>
      <c r="D221" t="s">
        <v>9</v>
      </c>
      <c r="E221" t="s">
        <v>12</v>
      </c>
      <c r="F221">
        <v>43</v>
      </c>
      <c r="G221">
        <v>1.77</v>
      </c>
      <c r="H221">
        <f>Sales_Data[[#This Row],[Quantity]]*Sales_Data[[#This Row],[UnitPrice]]</f>
        <v>76.11</v>
      </c>
    </row>
    <row r="222" spans="1:8" x14ac:dyDescent="0.25">
      <c r="A222" s="1">
        <v>44126</v>
      </c>
      <c r="B222" t="s">
        <v>6</v>
      </c>
      <c r="C222" t="s">
        <v>7</v>
      </c>
      <c r="D222" t="s">
        <v>22</v>
      </c>
      <c r="E222" t="s">
        <v>23</v>
      </c>
      <c r="F222">
        <v>30</v>
      </c>
      <c r="G222">
        <v>3.49</v>
      </c>
      <c r="H222">
        <f>Sales_Data[[#This Row],[Quantity]]*Sales_Data[[#This Row],[UnitPrice]]</f>
        <v>104.7</v>
      </c>
    </row>
    <row r="223" spans="1:8" x14ac:dyDescent="0.25">
      <c r="A223" s="1">
        <v>44129</v>
      </c>
      <c r="B223" t="s">
        <v>19</v>
      </c>
      <c r="C223" t="s">
        <v>20</v>
      </c>
      <c r="D223" t="s">
        <v>9</v>
      </c>
      <c r="E223" t="s">
        <v>12</v>
      </c>
      <c r="F223">
        <v>35</v>
      </c>
      <c r="G223">
        <v>1.77</v>
      </c>
      <c r="H223">
        <f>Sales_Data[[#This Row],[Quantity]]*Sales_Data[[#This Row],[UnitPrice]]</f>
        <v>61.95</v>
      </c>
    </row>
    <row r="224" spans="1:8" x14ac:dyDescent="0.25">
      <c r="A224" s="1">
        <v>44132</v>
      </c>
      <c r="B224" t="s">
        <v>6</v>
      </c>
      <c r="C224" t="s">
        <v>18</v>
      </c>
      <c r="D224" t="s">
        <v>9</v>
      </c>
      <c r="E224" t="s">
        <v>11</v>
      </c>
      <c r="F224">
        <v>57</v>
      </c>
      <c r="G224">
        <v>1.87</v>
      </c>
      <c r="H224">
        <f>Sales_Data[[#This Row],[Quantity]]*Sales_Data[[#This Row],[UnitPrice]]</f>
        <v>106.59</v>
      </c>
    </row>
    <row r="225" spans="1:8" x14ac:dyDescent="0.25">
      <c r="A225" s="1">
        <v>44135</v>
      </c>
      <c r="B225" t="s">
        <v>6</v>
      </c>
      <c r="C225" t="s">
        <v>18</v>
      </c>
      <c r="D225" t="s">
        <v>16</v>
      </c>
      <c r="E225" t="s">
        <v>17</v>
      </c>
      <c r="F225">
        <v>25</v>
      </c>
      <c r="G225">
        <v>1.68</v>
      </c>
      <c r="H225">
        <f>Sales_Data[[#This Row],[Quantity]]*Sales_Data[[#This Row],[UnitPrice]]</f>
        <v>42</v>
      </c>
    </row>
    <row r="226" spans="1:8" x14ac:dyDescent="0.25">
      <c r="A226" s="1">
        <v>44138</v>
      </c>
      <c r="B226" t="s">
        <v>19</v>
      </c>
      <c r="C226" t="s">
        <v>21</v>
      </c>
      <c r="D226" t="s">
        <v>13</v>
      </c>
      <c r="E226" t="s">
        <v>14</v>
      </c>
      <c r="F226">
        <v>24</v>
      </c>
      <c r="G226">
        <v>1.87</v>
      </c>
      <c r="H226">
        <f>Sales_Data[[#This Row],[Quantity]]*Sales_Data[[#This Row],[UnitPrice]]</f>
        <v>44.88</v>
      </c>
    </row>
    <row r="227" spans="1:8" x14ac:dyDescent="0.25">
      <c r="A227" s="1">
        <v>44141</v>
      </c>
      <c r="B227" t="s">
        <v>6</v>
      </c>
      <c r="C227" t="s">
        <v>7</v>
      </c>
      <c r="D227" t="s">
        <v>9</v>
      </c>
      <c r="E227" t="s">
        <v>11</v>
      </c>
      <c r="F227">
        <v>83</v>
      </c>
      <c r="G227">
        <v>1.87</v>
      </c>
      <c r="H227">
        <f>Sales_Data[[#This Row],[Quantity]]*Sales_Data[[#This Row],[UnitPrice]]</f>
        <v>155.21</v>
      </c>
    </row>
    <row r="228" spans="1:8" x14ac:dyDescent="0.25">
      <c r="A228" s="1">
        <v>44144</v>
      </c>
      <c r="B228" t="s">
        <v>6</v>
      </c>
      <c r="C228" t="s">
        <v>7</v>
      </c>
      <c r="D228" t="s">
        <v>13</v>
      </c>
      <c r="E228" t="s">
        <v>15</v>
      </c>
      <c r="F228">
        <v>124</v>
      </c>
      <c r="G228">
        <v>2.8400000000000003</v>
      </c>
      <c r="H228">
        <f>Sales_Data[[#This Row],[Quantity]]*Sales_Data[[#This Row],[UnitPrice]]</f>
        <v>352.16</v>
      </c>
    </row>
    <row r="229" spans="1:8" x14ac:dyDescent="0.25">
      <c r="A229" s="1">
        <v>44147</v>
      </c>
      <c r="B229" t="s">
        <v>19</v>
      </c>
      <c r="C229" t="s">
        <v>20</v>
      </c>
      <c r="D229" t="s">
        <v>9</v>
      </c>
      <c r="E229" t="s">
        <v>12</v>
      </c>
      <c r="F229">
        <v>137</v>
      </c>
      <c r="G229">
        <v>1.77</v>
      </c>
      <c r="H229">
        <f>Sales_Data[[#This Row],[Quantity]]*Sales_Data[[#This Row],[UnitPrice]]</f>
        <v>242.49</v>
      </c>
    </row>
    <row r="230" spans="1:8" x14ac:dyDescent="0.25">
      <c r="A230" s="1">
        <v>44150</v>
      </c>
      <c r="B230" t="s">
        <v>6</v>
      </c>
      <c r="C230" t="s">
        <v>18</v>
      </c>
      <c r="D230" t="s">
        <v>13</v>
      </c>
      <c r="E230" t="s">
        <v>8</v>
      </c>
      <c r="F230">
        <v>146</v>
      </c>
      <c r="G230">
        <v>2.1799999999999997</v>
      </c>
      <c r="H230">
        <f>Sales_Data[[#This Row],[Quantity]]*Sales_Data[[#This Row],[UnitPrice]]</f>
        <v>318.27999999999997</v>
      </c>
    </row>
    <row r="231" spans="1:8" x14ac:dyDescent="0.25">
      <c r="A231" s="1">
        <v>44153</v>
      </c>
      <c r="B231" t="s">
        <v>6</v>
      </c>
      <c r="C231" t="s">
        <v>18</v>
      </c>
      <c r="D231" t="s">
        <v>13</v>
      </c>
      <c r="E231" t="s">
        <v>14</v>
      </c>
      <c r="F231">
        <v>34</v>
      </c>
      <c r="G231">
        <v>1.8699999999999999</v>
      </c>
      <c r="H231">
        <f>Sales_Data[[#This Row],[Quantity]]*Sales_Data[[#This Row],[UnitPrice]]</f>
        <v>63.58</v>
      </c>
    </row>
    <row r="232" spans="1:8" x14ac:dyDescent="0.25">
      <c r="A232" s="1">
        <v>44156</v>
      </c>
      <c r="B232" t="s">
        <v>19</v>
      </c>
      <c r="C232" t="s">
        <v>21</v>
      </c>
      <c r="D232" t="s">
        <v>9</v>
      </c>
      <c r="E232" t="s">
        <v>12</v>
      </c>
      <c r="F232">
        <v>20</v>
      </c>
      <c r="G232">
        <v>1.77</v>
      </c>
      <c r="H232">
        <f>Sales_Data[[#This Row],[Quantity]]*Sales_Data[[#This Row],[UnitPrice]]</f>
        <v>35.4</v>
      </c>
    </row>
    <row r="233" spans="1:8" x14ac:dyDescent="0.25">
      <c r="A233" s="1">
        <v>44159</v>
      </c>
      <c r="B233" t="s">
        <v>6</v>
      </c>
      <c r="C233" t="s">
        <v>7</v>
      </c>
      <c r="D233" t="s">
        <v>13</v>
      </c>
      <c r="E233" t="s">
        <v>8</v>
      </c>
      <c r="F233">
        <v>139</v>
      </c>
      <c r="G233">
        <v>2.1799999999999997</v>
      </c>
      <c r="H233">
        <f>Sales_Data[[#This Row],[Quantity]]*Sales_Data[[#This Row],[UnitPrice]]</f>
        <v>303.02</v>
      </c>
    </row>
    <row r="234" spans="1:8" x14ac:dyDescent="0.25">
      <c r="A234" s="1">
        <v>44162</v>
      </c>
      <c r="B234" t="s">
        <v>6</v>
      </c>
      <c r="C234" t="s">
        <v>7</v>
      </c>
      <c r="D234" t="s">
        <v>13</v>
      </c>
      <c r="E234" t="s">
        <v>14</v>
      </c>
      <c r="F234">
        <v>211</v>
      </c>
      <c r="G234">
        <v>1.8699999999999999</v>
      </c>
      <c r="H234">
        <f>Sales_Data[[#This Row],[Quantity]]*Sales_Data[[#This Row],[UnitPrice]]</f>
        <v>394.57</v>
      </c>
    </row>
    <row r="235" spans="1:8" x14ac:dyDescent="0.25">
      <c r="A235" s="1">
        <v>44165</v>
      </c>
      <c r="B235" t="s">
        <v>6</v>
      </c>
      <c r="C235" t="s">
        <v>7</v>
      </c>
      <c r="D235" t="s">
        <v>22</v>
      </c>
      <c r="E235" t="s">
        <v>23</v>
      </c>
      <c r="F235">
        <v>20</v>
      </c>
      <c r="G235">
        <v>3.4899999999999998</v>
      </c>
      <c r="H235">
        <f>Sales_Data[[#This Row],[Quantity]]*Sales_Data[[#This Row],[UnitPrice]]</f>
        <v>69.8</v>
      </c>
    </row>
    <row r="236" spans="1:8" x14ac:dyDescent="0.25">
      <c r="A236" s="1">
        <v>44168</v>
      </c>
      <c r="B236" t="s">
        <v>19</v>
      </c>
      <c r="C236" t="s">
        <v>20</v>
      </c>
      <c r="D236" t="s">
        <v>9</v>
      </c>
      <c r="E236" t="s">
        <v>11</v>
      </c>
      <c r="F236">
        <v>42</v>
      </c>
      <c r="G236">
        <v>1.87</v>
      </c>
      <c r="H236">
        <f>Sales_Data[[#This Row],[Quantity]]*Sales_Data[[#This Row],[UnitPrice]]</f>
        <v>78.540000000000006</v>
      </c>
    </row>
    <row r="237" spans="1:8" x14ac:dyDescent="0.25">
      <c r="A237" s="1">
        <v>44171</v>
      </c>
      <c r="B237" t="s">
        <v>19</v>
      </c>
      <c r="C237" t="s">
        <v>20</v>
      </c>
      <c r="D237" t="s">
        <v>13</v>
      </c>
      <c r="E237" t="s">
        <v>15</v>
      </c>
      <c r="F237">
        <v>100</v>
      </c>
      <c r="G237">
        <v>2.84</v>
      </c>
      <c r="H237">
        <f>Sales_Data[[#This Row],[Quantity]]*Sales_Data[[#This Row],[UnitPrice]]</f>
        <v>284</v>
      </c>
    </row>
    <row r="238" spans="1:8" x14ac:dyDescent="0.25">
      <c r="A238" s="1">
        <v>44174</v>
      </c>
      <c r="B238" t="s">
        <v>6</v>
      </c>
      <c r="C238" t="s">
        <v>18</v>
      </c>
      <c r="D238" t="s">
        <v>9</v>
      </c>
      <c r="E238" t="s">
        <v>12</v>
      </c>
      <c r="F238">
        <v>38</v>
      </c>
      <c r="G238">
        <v>1.7700000000000002</v>
      </c>
      <c r="H238">
        <f>Sales_Data[[#This Row],[Quantity]]*Sales_Data[[#This Row],[UnitPrice]]</f>
        <v>67.260000000000005</v>
      </c>
    </row>
    <row r="239" spans="1:8" x14ac:dyDescent="0.25">
      <c r="A239" s="1">
        <v>44177</v>
      </c>
      <c r="B239" t="s">
        <v>6</v>
      </c>
      <c r="C239" t="s">
        <v>18</v>
      </c>
      <c r="D239" t="s">
        <v>22</v>
      </c>
      <c r="E239" t="s">
        <v>23</v>
      </c>
      <c r="F239">
        <v>25</v>
      </c>
      <c r="G239">
        <v>3.49</v>
      </c>
      <c r="H239">
        <f>Sales_Data[[#This Row],[Quantity]]*Sales_Data[[#This Row],[UnitPrice]]</f>
        <v>87.25</v>
      </c>
    </row>
    <row r="240" spans="1:8" x14ac:dyDescent="0.25">
      <c r="A240" s="1">
        <v>44180</v>
      </c>
      <c r="B240" t="s">
        <v>19</v>
      </c>
      <c r="C240" t="s">
        <v>21</v>
      </c>
      <c r="D240" t="s">
        <v>13</v>
      </c>
      <c r="E240" t="s">
        <v>14</v>
      </c>
      <c r="F240">
        <v>96</v>
      </c>
      <c r="G240">
        <v>1.87</v>
      </c>
      <c r="H240">
        <f>Sales_Data[[#This Row],[Quantity]]*Sales_Data[[#This Row],[UnitPrice]]</f>
        <v>179.52</v>
      </c>
    </row>
    <row r="241" spans="1:8" x14ac:dyDescent="0.25">
      <c r="A241" s="1">
        <v>44183</v>
      </c>
      <c r="B241" t="s">
        <v>6</v>
      </c>
      <c r="C241" t="s">
        <v>7</v>
      </c>
      <c r="D241" t="s">
        <v>13</v>
      </c>
      <c r="E241" t="s">
        <v>8</v>
      </c>
      <c r="F241">
        <v>34</v>
      </c>
      <c r="G241">
        <v>2.1800000000000002</v>
      </c>
      <c r="H241">
        <f>Sales_Data[[#This Row],[Quantity]]*Sales_Data[[#This Row],[UnitPrice]]</f>
        <v>74.12</v>
      </c>
    </row>
    <row r="242" spans="1:8" x14ac:dyDescent="0.25">
      <c r="A242" s="1">
        <v>44186</v>
      </c>
      <c r="B242" t="s">
        <v>6</v>
      </c>
      <c r="C242" t="s">
        <v>7</v>
      </c>
      <c r="D242" t="s">
        <v>13</v>
      </c>
      <c r="E242" t="s">
        <v>14</v>
      </c>
      <c r="F242">
        <v>245</v>
      </c>
      <c r="G242">
        <v>1.8699999999999999</v>
      </c>
      <c r="H242">
        <f>Sales_Data[[#This Row],[Quantity]]*Sales_Data[[#This Row],[UnitPrice]]</f>
        <v>458.15</v>
      </c>
    </row>
    <row r="243" spans="1:8" x14ac:dyDescent="0.25">
      <c r="A243" s="1">
        <v>44189</v>
      </c>
      <c r="B243" t="s">
        <v>6</v>
      </c>
      <c r="C243" t="s">
        <v>7</v>
      </c>
      <c r="D243" t="s">
        <v>22</v>
      </c>
      <c r="E243" t="s">
        <v>23</v>
      </c>
      <c r="F243">
        <v>30</v>
      </c>
      <c r="G243">
        <v>3.49</v>
      </c>
      <c r="H243">
        <f>Sales_Data[[#This Row],[Quantity]]*Sales_Data[[#This Row],[UnitPrice]]</f>
        <v>104.7</v>
      </c>
    </row>
    <row r="244" spans="1:8" x14ac:dyDescent="0.25">
      <c r="A244" s="1">
        <v>44192</v>
      </c>
      <c r="B244" t="s">
        <v>19</v>
      </c>
      <c r="C244" t="s">
        <v>20</v>
      </c>
      <c r="D244" t="s">
        <v>9</v>
      </c>
      <c r="E244" t="s">
        <v>11</v>
      </c>
      <c r="F244">
        <v>30</v>
      </c>
      <c r="G244">
        <v>1.87</v>
      </c>
      <c r="H244">
        <f>Sales_Data[[#This Row],[Quantity]]*Sales_Data[[#This Row],[UnitPrice]]</f>
        <v>56.1</v>
      </c>
    </row>
    <row r="245" spans="1:8" x14ac:dyDescent="0.25">
      <c r="A245" s="1">
        <v>44195</v>
      </c>
      <c r="B245" t="s">
        <v>19</v>
      </c>
      <c r="C245" t="s">
        <v>20</v>
      </c>
      <c r="D245" t="s">
        <v>13</v>
      </c>
      <c r="E245" t="s">
        <v>15</v>
      </c>
      <c r="F245">
        <v>44</v>
      </c>
      <c r="G245">
        <v>2.84</v>
      </c>
      <c r="H245">
        <f>Sales_Data[[#This Row],[Quantity]]*Sales_Data[[#This Row],[UnitPrice]]</f>
        <v>124.96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Sheet17</vt:lpstr>
      <vt:lpstr>Sheet16</vt:lpstr>
      <vt:lpstr>Sheet15</vt:lpstr>
      <vt:lpstr>Sheet14</vt:lpstr>
      <vt:lpstr>Sheet13</vt:lpstr>
      <vt:lpstr>Sales Data</vt:lpstr>
    </vt:vector>
  </TitlesOfParts>
  <Company>Contextures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Surendra</cp:lastModifiedBy>
  <cp:lastPrinted>2013-05-31T18:56:13Z</cp:lastPrinted>
  <dcterms:created xsi:type="dcterms:W3CDTF">2007-08-07T00:48:59Z</dcterms:created>
  <dcterms:modified xsi:type="dcterms:W3CDTF">2020-05-02T09:14:52Z</dcterms:modified>
</cp:coreProperties>
</file>